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rbre" sheetId="1" state="visible" r:id="rId1"/>
    <sheet xmlns:r="http://schemas.openxmlformats.org/officeDocument/2006/relationships" name="Matrice" sheetId="2" state="visible" r:id="rId2"/>
    <sheet xmlns:r="http://schemas.openxmlformats.org/officeDocument/2006/relationships" name="Exigences" sheetId="3" state="visible" r:id="rId3"/>
  </sheets>
  <definedNames>
    <definedName name="_xlnm._FilterDatabase" localSheetId="2" hidden="1">'Exigences'!$A$1:$H$87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indent="2"/>
    </xf>
    <xf numFmtId="0" fontId="7" fillId="4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bottom" textRotation="90"/>
    </xf>
    <xf numFmtId="0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general" vertical="top"/>
    </xf>
    <xf numFmtId="0" fontId="7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indent="2"/>
    </xf>
    <xf numFmtId="0" fontId="7" fillId="4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bottom" textRotation="90"/>
    </xf>
    <xf numFmtId="0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general" vertical="top"/>
    </xf>
    <xf numFmtId="0" fontId="7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>
          <bgColor rgb="FFBDD7E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0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1"/>
  <cols>
    <col width="10" customWidth="1" style="19" min="1" max="1"/>
    <col width="13" customWidth="1" style="19" min="2" max="2"/>
    <col width="66" customWidth="1" style="19" min="3" max="3"/>
    <col width="18" customWidth="1" style="19" min="4" max="4"/>
    <col width="6" customWidth="1" style="19" min="5" max="5"/>
    <col width="7" customWidth="1" style="19" min="6" max="6"/>
    <col width="22" customWidth="1" style="19" min="7" max="7"/>
    <col width="11" customWidth="1" style="19" min="8" max="8"/>
  </cols>
  <sheetData>
    <row r="1" ht="15" customHeight="1" s="20">
      <c r="A1" s="21" t="inlineStr">
        <is>
          <t>Cascade des exigences : chaque exigence d'origine (bleu) ou décision (vert) avec les exigences dérivées qui en découlent</t>
        </is>
      </c>
    </row>
    <row r="2" ht="30" customHeight="1" s="20">
      <c r="A2" s="22" t="inlineStr">
        <is>
          <t>Prio : M = MVP, S = V1 après MVP, V2 = hors V1.  Vérif. : T = test automatique, M = test manuel sur téléphones, R = relecture. Les lignes dérivées se replient avec les boutons 1/2 en haut à gauche. Source des textes : onglet Exigences.</t>
        </is>
      </c>
    </row>
    <row r="3"/>
    <row r="4" ht="15" customHeight="1" s="20">
      <c r="A4" s="23" t="inlineStr">
        <is>
          <t>Niveau</t>
        </is>
      </c>
      <c r="B4" s="23" t="inlineStr">
        <is>
          <t>ID</t>
        </is>
      </c>
      <c r="C4" s="23" t="inlineStr">
        <is>
          <t>Exigence</t>
        </is>
      </c>
      <c r="D4" s="23" t="inlineStr">
        <is>
          <t>Bloc</t>
        </is>
      </c>
      <c r="E4" s="23" t="inlineStr">
        <is>
          <t>Prio</t>
        </is>
      </c>
      <c r="F4" s="23" t="inlineStr">
        <is>
          <t>Vérif.</t>
        </is>
      </c>
      <c r="G4" s="23" t="inlineStr">
        <is>
          <t>Toutes les origines</t>
        </is>
      </c>
      <c r="H4" s="23" t="inlineStr">
        <is>
          <t>Nb dérivées</t>
        </is>
      </c>
    </row>
    <row r="5" ht="15" customHeight="1" s="20">
      <c r="A5" s="24" t="inlineStr">
        <is>
          <t>Origine</t>
        </is>
      </c>
      <c r="B5" s="24" t="inlineStr">
        <is>
          <t>EX-A1</t>
        </is>
      </c>
      <c r="C5" s="24">
        <f>INDEX(Exigences!$D:$D,MATCH(B5,Exigences!$A:$A,0))</f>
        <v/>
      </c>
      <c r="D5" s="24">
        <f>INDEX(Exigences!$C:$C,MATCH(B5,Exigences!$A:$A,0))</f>
        <v/>
      </c>
      <c r="E5" s="24" t="n"/>
      <c r="F5" s="24" t="n"/>
      <c r="G5" s="24" t="n"/>
      <c r="H5" s="24">
        <f>INDEX(Exigences!$H:$H,MATCH(B5,Exigences!$A:$A,0))</f>
        <v/>
      </c>
    </row>
    <row r="6" outlineLevel="1" ht="15" customHeight="1" s="20">
      <c r="A6" s="25" t="inlineStr">
        <is>
          <t>Dérivée</t>
        </is>
      </c>
      <c r="B6" s="26" t="inlineStr">
        <is>
          <t>D-A1-01</t>
        </is>
      </c>
      <c r="C6" s="25">
        <f>INDEX(Exigences!$D:$D,MATCH(B6,Exigences!$A:$A,0))</f>
        <v/>
      </c>
      <c r="D6" s="25">
        <f>INDEX(Exigences!$C:$C,MATCH(B6,Exigences!$A:$A,0))</f>
        <v/>
      </c>
      <c r="E6" s="25">
        <f>INDEX(Exigences!$F:$F,MATCH(B6,Exigences!$A:$A,0))</f>
        <v/>
      </c>
      <c r="F6" s="25">
        <f>INDEX(Exigences!$G:$G,MATCH(B6,Exigences!$A:$A,0))</f>
        <v/>
      </c>
      <c r="G6" s="25">
        <f>INDEX(Exigences!$E:$E,MATCH(B6,Exigences!$A:$A,0))</f>
        <v/>
      </c>
      <c r="H6" s="25" t="n"/>
    </row>
    <row r="7" outlineLevel="1" ht="15" customHeight="1" s="20">
      <c r="A7" s="25" t="inlineStr">
        <is>
          <t>Dérivée</t>
        </is>
      </c>
      <c r="B7" s="26" t="inlineStr">
        <is>
          <t>D-A1-02</t>
        </is>
      </c>
      <c r="C7" s="25">
        <f>INDEX(Exigences!$D:$D,MATCH(B7,Exigences!$A:$A,0))</f>
        <v/>
      </c>
      <c r="D7" s="25">
        <f>INDEX(Exigences!$C:$C,MATCH(B7,Exigences!$A:$A,0))</f>
        <v/>
      </c>
      <c r="E7" s="25">
        <f>INDEX(Exigences!$F:$F,MATCH(B7,Exigences!$A:$A,0))</f>
        <v/>
      </c>
      <c r="F7" s="25">
        <f>INDEX(Exigences!$G:$G,MATCH(B7,Exigences!$A:$A,0))</f>
        <v/>
      </c>
      <c r="G7" s="25">
        <f>INDEX(Exigences!$E:$E,MATCH(B7,Exigences!$A:$A,0))</f>
        <v/>
      </c>
      <c r="H7" s="25" t="n"/>
    </row>
    <row r="8" outlineLevel="1" ht="15" customHeight="1" s="20">
      <c r="A8" s="25" t="inlineStr">
        <is>
          <t>Dérivée</t>
        </is>
      </c>
      <c r="B8" s="26" t="inlineStr">
        <is>
          <t>D-A1-03</t>
        </is>
      </c>
      <c r="C8" s="25">
        <f>INDEX(Exigences!$D:$D,MATCH(B8,Exigences!$A:$A,0))</f>
        <v/>
      </c>
      <c r="D8" s="25">
        <f>INDEX(Exigences!$C:$C,MATCH(B8,Exigences!$A:$A,0))</f>
        <v/>
      </c>
      <c r="E8" s="25">
        <f>INDEX(Exigences!$F:$F,MATCH(B8,Exigences!$A:$A,0))</f>
        <v/>
      </c>
      <c r="F8" s="25">
        <f>INDEX(Exigences!$G:$G,MATCH(B8,Exigences!$A:$A,0))</f>
        <v/>
      </c>
      <c r="G8" s="25">
        <f>INDEX(Exigences!$E:$E,MATCH(B8,Exigences!$A:$A,0))</f>
        <v/>
      </c>
      <c r="H8" s="25" t="n"/>
    </row>
    <row r="9" outlineLevel="1" ht="15" customHeight="1" s="20">
      <c r="A9" s="25" t="inlineStr">
        <is>
          <t>Dérivée</t>
        </is>
      </c>
      <c r="B9" s="26" t="inlineStr">
        <is>
          <t>D-A1-04</t>
        </is>
      </c>
      <c r="C9" s="25">
        <f>INDEX(Exigences!$D:$D,MATCH(B9,Exigences!$A:$A,0))</f>
        <v/>
      </c>
      <c r="D9" s="25">
        <f>INDEX(Exigences!$C:$C,MATCH(B9,Exigences!$A:$A,0))</f>
        <v/>
      </c>
      <c r="E9" s="25">
        <f>INDEX(Exigences!$F:$F,MATCH(B9,Exigences!$A:$A,0))</f>
        <v/>
      </c>
      <c r="F9" s="25">
        <f>INDEX(Exigences!$G:$G,MATCH(B9,Exigences!$A:$A,0))</f>
        <v/>
      </c>
      <c r="G9" s="25">
        <f>INDEX(Exigences!$E:$E,MATCH(B9,Exigences!$A:$A,0))</f>
        <v/>
      </c>
      <c r="H9" s="25" t="n"/>
    </row>
    <row r="10" outlineLevel="1" ht="15" customHeight="1" s="20">
      <c r="A10" s="25" t="inlineStr">
        <is>
          <t>Dérivée</t>
        </is>
      </c>
      <c r="B10" s="26" t="inlineStr">
        <is>
          <t>D-A1-05</t>
        </is>
      </c>
      <c r="C10" s="25">
        <f>INDEX(Exigences!$D:$D,MATCH(B10,Exigences!$A:$A,0))</f>
        <v/>
      </c>
      <c r="D10" s="25">
        <f>INDEX(Exigences!$C:$C,MATCH(B10,Exigences!$A:$A,0))</f>
        <v/>
      </c>
      <c r="E10" s="25">
        <f>INDEX(Exigences!$F:$F,MATCH(B10,Exigences!$A:$A,0))</f>
        <v/>
      </c>
      <c r="F10" s="25">
        <f>INDEX(Exigences!$G:$G,MATCH(B10,Exigences!$A:$A,0))</f>
        <v/>
      </c>
      <c r="G10" s="25">
        <f>INDEX(Exigences!$E:$E,MATCH(B10,Exigences!$A:$A,0))</f>
        <v/>
      </c>
      <c r="H10" s="25" t="n"/>
    </row>
    <row r="11" outlineLevel="1" ht="15" customHeight="1" s="20">
      <c r="A11" s="25" t="inlineStr">
        <is>
          <t>Dérivée</t>
        </is>
      </c>
      <c r="B11" s="26" t="inlineStr">
        <is>
          <t>D-A1-06</t>
        </is>
      </c>
      <c r="C11" s="25">
        <f>INDEX(Exigences!$D:$D,MATCH(B11,Exigences!$A:$A,0))</f>
        <v/>
      </c>
      <c r="D11" s="25">
        <f>INDEX(Exigences!$C:$C,MATCH(B11,Exigences!$A:$A,0))</f>
        <v/>
      </c>
      <c r="E11" s="25">
        <f>INDEX(Exigences!$F:$F,MATCH(B11,Exigences!$A:$A,0))</f>
        <v/>
      </c>
      <c r="F11" s="25">
        <f>INDEX(Exigences!$G:$G,MATCH(B11,Exigences!$A:$A,0))</f>
        <v/>
      </c>
      <c r="G11" s="25">
        <f>INDEX(Exigences!$E:$E,MATCH(B11,Exigences!$A:$A,0))</f>
        <v/>
      </c>
      <c r="H11" s="25" t="n"/>
    </row>
    <row r="12" outlineLevel="1" ht="15" customHeight="1" s="20">
      <c r="A12" s="25" t="inlineStr">
        <is>
          <t>Dérivée</t>
        </is>
      </c>
      <c r="B12" s="26" t="inlineStr">
        <is>
          <t>D-A1-07</t>
        </is>
      </c>
      <c r="C12" s="25">
        <f>INDEX(Exigences!$D:$D,MATCH(B12,Exigences!$A:$A,0))</f>
        <v/>
      </c>
      <c r="D12" s="25">
        <f>INDEX(Exigences!$C:$C,MATCH(B12,Exigences!$A:$A,0))</f>
        <v/>
      </c>
      <c r="E12" s="25">
        <f>INDEX(Exigences!$F:$F,MATCH(B12,Exigences!$A:$A,0))</f>
        <v/>
      </c>
      <c r="F12" s="25">
        <f>INDEX(Exigences!$G:$G,MATCH(B12,Exigences!$A:$A,0))</f>
        <v/>
      </c>
      <c r="G12" s="25">
        <f>INDEX(Exigences!$E:$E,MATCH(B12,Exigences!$A:$A,0))</f>
        <v/>
      </c>
      <c r="H12" s="25" t="n"/>
    </row>
    <row r="13" outlineLevel="1" ht="15" customHeight="1" s="20">
      <c r="A13" s="25" t="inlineStr">
        <is>
          <t>Dérivée</t>
        </is>
      </c>
      <c r="B13" s="26" t="inlineStr">
        <is>
          <t>D-A1-08</t>
        </is>
      </c>
      <c r="C13" s="25">
        <f>INDEX(Exigences!$D:$D,MATCH(B13,Exigences!$A:$A,0))</f>
        <v/>
      </c>
      <c r="D13" s="25">
        <f>INDEX(Exigences!$C:$C,MATCH(B13,Exigences!$A:$A,0))</f>
        <v/>
      </c>
      <c r="E13" s="25">
        <f>INDEX(Exigences!$F:$F,MATCH(B13,Exigences!$A:$A,0))</f>
        <v/>
      </c>
      <c r="F13" s="25">
        <f>INDEX(Exigences!$G:$G,MATCH(B13,Exigences!$A:$A,0))</f>
        <v/>
      </c>
      <c r="G13" s="25">
        <f>INDEX(Exigences!$E:$E,MATCH(B13,Exigences!$A:$A,0))</f>
        <v/>
      </c>
      <c r="H13" s="25" t="n"/>
    </row>
    <row r="14" outlineLevel="1" ht="15" customHeight="1" s="20">
      <c r="A14" s="25" t="inlineStr">
        <is>
          <t>Dérivée</t>
        </is>
      </c>
      <c r="B14" s="26" t="inlineStr">
        <is>
          <t>D-A1-10</t>
        </is>
      </c>
      <c r="C14" s="25">
        <f>INDEX(Exigences!$D:$D,MATCH(B14,Exigences!$A:$A,0))</f>
        <v/>
      </c>
      <c r="D14" s="25">
        <f>INDEX(Exigences!$C:$C,MATCH(B14,Exigences!$A:$A,0))</f>
        <v/>
      </c>
      <c r="E14" s="25">
        <f>INDEX(Exigences!$F:$F,MATCH(B14,Exigences!$A:$A,0))</f>
        <v/>
      </c>
      <c r="F14" s="25">
        <f>INDEX(Exigences!$G:$G,MATCH(B14,Exigences!$A:$A,0))</f>
        <v/>
      </c>
      <c r="G14" s="25">
        <f>INDEX(Exigences!$E:$E,MATCH(B14,Exigences!$A:$A,0))</f>
        <v/>
      </c>
      <c r="H14" s="25" t="n"/>
    </row>
    <row r="15" outlineLevel="1" ht="15" customHeight="1" s="20">
      <c r="A15" s="25" t="inlineStr">
        <is>
          <t>Dérivée</t>
        </is>
      </c>
      <c r="B15" s="26" t="inlineStr">
        <is>
          <t>D-A2-02</t>
        </is>
      </c>
      <c r="C15" s="25">
        <f>INDEX(Exigences!$D:$D,MATCH(B15,Exigences!$A:$A,0))</f>
        <v/>
      </c>
      <c r="D15" s="25">
        <f>INDEX(Exigences!$C:$C,MATCH(B15,Exigences!$A:$A,0))</f>
        <v/>
      </c>
      <c r="E15" s="25">
        <f>INDEX(Exigences!$F:$F,MATCH(B15,Exigences!$A:$A,0))</f>
        <v/>
      </c>
      <c r="F15" s="25">
        <f>INDEX(Exigences!$G:$G,MATCH(B15,Exigences!$A:$A,0))</f>
        <v/>
      </c>
      <c r="G15" s="25">
        <f>INDEX(Exigences!$E:$E,MATCH(B15,Exigences!$A:$A,0))</f>
        <v/>
      </c>
      <c r="H15" s="25" t="n"/>
    </row>
    <row r="16" outlineLevel="1" ht="15" customHeight="1" s="20">
      <c r="A16" s="25" t="inlineStr">
        <is>
          <t>Dérivée</t>
        </is>
      </c>
      <c r="B16" s="26" t="inlineStr">
        <is>
          <t>D-A2-08</t>
        </is>
      </c>
      <c r="C16" s="25">
        <f>INDEX(Exigences!$D:$D,MATCH(B16,Exigences!$A:$A,0))</f>
        <v/>
      </c>
      <c r="D16" s="25">
        <f>INDEX(Exigences!$C:$C,MATCH(B16,Exigences!$A:$A,0))</f>
        <v/>
      </c>
      <c r="E16" s="25">
        <f>INDEX(Exigences!$F:$F,MATCH(B16,Exigences!$A:$A,0))</f>
        <v/>
      </c>
      <c r="F16" s="25">
        <f>INDEX(Exigences!$G:$G,MATCH(B16,Exigences!$A:$A,0))</f>
        <v/>
      </c>
      <c r="G16" s="25">
        <f>INDEX(Exigences!$E:$E,MATCH(B16,Exigences!$A:$A,0))</f>
        <v/>
      </c>
      <c r="H16" s="25" t="n"/>
    </row>
    <row r="17" outlineLevel="1" ht="15" customHeight="1" s="20">
      <c r="A17" s="25" t="inlineStr">
        <is>
          <t>Dérivée</t>
        </is>
      </c>
      <c r="B17" s="26" t="inlineStr">
        <is>
          <t>D-A3-04</t>
        </is>
      </c>
      <c r="C17" s="25">
        <f>INDEX(Exigences!$D:$D,MATCH(B17,Exigences!$A:$A,0))</f>
        <v/>
      </c>
      <c r="D17" s="25">
        <f>INDEX(Exigences!$C:$C,MATCH(B17,Exigences!$A:$A,0))</f>
        <v/>
      </c>
      <c r="E17" s="25">
        <f>INDEX(Exigences!$F:$F,MATCH(B17,Exigences!$A:$A,0))</f>
        <v/>
      </c>
      <c r="F17" s="25">
        <f>INDEX(Exigences!$G:$G,MATCH(B17,Exigences!$A:$A,0))</f>
        <v/>
      </c>
      <c r="G17" s="25">
        <f>INDEX(Exigences!$E:$E,MATCH(B17,Exigences!$A:$A,0))</f>
        <v/>
      </c>
      <c r="H17" s="25" t="n"/>
    </row>
    <row r="18" outlineLevel="1" ht="15" customHeight="1" s="20">
      <c r="A18" s="25" t="inlineStr">
        <is>
          <t>Dérivée</t>
        </is>
      </c>
      <c r="B18" s="26" t="inlineStr">
        <is>
          <t>D-A3-13</t>
        </is>
      </c>
      <c r="C18" s="25">
        <f>INDEX(Exigences!$D:$D,MATCH(B18,Exigences!$A:$A,0))</f>
        <v/>
      </c>
      <c r="D18" s="25">
        <f>INDEX(Exigences!$C:$C,MATCH(B18,Exigences!$A:$A,0))</f>
        <v/>
      </c>
      <c r="E18" s="25">
        <f>INDEX(Exigences!$F:$F,MATCH(B18,Exigences!$A:$A,0))</f>
        <v/>
      </c>
      <c r="F18" s="25">
        <f>INDEX(Exigences!$G:$G,MATCH(B18,Exigences!$A:$A,0))</f>
        <v/>
      </c>
      <c r="G18" s="25">
        <f>INDEX(Exigences!$E:$E,MATCH(B18,Exigences!$A:$A,0))</f>
        <v/>
      </c>
      <c r="H18" s="25" t="n"/>
    </row>
    <row r="19" outlineLevel="1" ht="15" customHeight="1" s="20">
      <c r="A19" s="25" t="inlineStr">
        <is>
          <t>Dérivée</t>
        </is>
      </c>
      <c r="B19" s="26" t="inlineStr">
        <is>
          <t>D-T-04</t>
        </is>
      </c>
      <c r="C19" s="25">
        <f>INDEX(Exigences!$D:$D,MATCH(B19,Exigences!$A:$A,0))</f>
        <v/>
      </c>
      <c r="D19" s="25">
        <f>INDEX(Exigences!$C:$C,MATCH(B19,Exigences!$A:$A,0))</f>
        <v/>
      </c>
      <c r="E19" s="25">
        <f>INDEX(Exigences!$F:$F,MATCH(B19,Exigences!$A:$A,0))</f>
        <v/>
      </c>
      <c r="F19" s="25">
        <f>INDEX(Exigences!$G:$G,MATCH(B19,Exigences!$A:$A,0))</f>
        <v/>
      </c>
      <c r="G19" s="25">
        <f>INDEX(Exigences!$E:$E,MATCH(B19,Exigences!$A:$A,0))</f>
        <v/>
      </c>
      <c r="H19" s="25" t="n"/>
    </row>
    <row r="20" ht="15" customHeight="1" s="20">
      <c r="A20" s="24" t="inlineStr">
        <is>
          <t>Origine</t>
        </is>
      </c>
      <c r="B20" s="24" t="inlineStr">
        <is>
          <t>EX-A2</t>
        </is>
      </c>
      <c r="C20" s="24">
        <f>INDEX(Exigences!$D:$D,MATCH(B20,Exigences!$A:$A,0))</f>
        <v/>
      </c>
      <c r="D20" s="24">
        <f>INDEX(Exigences!$C:$C,MATCH(B20,Exigences!$A:$A,0))</f>
        <v/>
      </c>
      <c r="E20" s="24" t="n"/>
      <c r="F20" s="24" t="n"/>
      <c r="G20" s="24" t="n"/>
      <c r="H20" s="24">
        <f>INDEX(Exigences!$H:$H,MATCH(B20,Exigences!$A:$A,0))</f>
        <v/>
      </c>
    </row>
    <row r="21" outlineLevel="1" ht="15" customHeight="1" s="20">
      <c r="A21" s="25" t="inlineStr">
        <is>
          <t>Dérivée</t>
        </is>
      </c>
      <c r="B21" s="26" t="inlineStr">
        <is>
          <t>D-A2-01</t>
        </is>
      </c>
      <c r="C21" s="25">
        <f>INDEX(Exigences!$D:$D,MATCH(B21,Exigences!$A:$A,0))</f>
        <v/>
      </c>
      <c r="D21" s="25">
        <f>INDEX(Exigences!$C:$C,MATCH(B21,Exigences!$A:$A,0))</f>
        <v/>
      </c>
      <c r="E21" s="25">
        <f>INDEX(Exigences!$F:$F,MATCH(B21,Exigences!$A:$A,0))</f>
        <v/>
      </c>
      <c r="F21" s="25">
        <f>INDEX(Exigences!$G:$G,MATCH(B21,Exigences!$A:$A,0))</f>
        <v/>
      </c>
      <c r="G21" s="25">
        <f>INDEX(Exigences!$E:$E,MATCH(B21,Exigences!$A:$A,0))</f>
        <v/>
      </c>
      <c r="H21" s="25" t="n"/>
    </row>
    <row r="22" outlineLevel="1" ht="15" customHeight="1" s="20">
      <c r="A22" s="25" t="inlineStr">
        <is>
          <t>Dérivée</t>
        </is>
      </c>
      <c r="B22" s="26" t="inlineStr">
        <is>
          <t>D-A3-03</t>
        </is>
      </c>
      <c r="C22" s="25">
        <f>INDEX(Exigences!$D:$D,MATCH(B22,Exigences!$A:$A,0))</f>
        <v/>
      </c>
      <c r="D22" s="25">
        <f>INDEX(Exigences!$C:$C,MATCH(B22,Exigences!$A:$A,0))</f>
        <v/>
      </c>
      <c r="E22" s="25">
        <f>INDEX(Exigences!$F:$F,MATCH(B22,Exigences!$A:$A,0))</f>
        <v/>
      </c>
      <c r="F22" s="25">
        <f>INDEX(Exigences!$G:$G,MATCH(B22,Exigences!$A:$A,0))</f>
        <v/>
      </c>
      <c r="G22" s="25">
        <f>INDEX(Exigences!$E:$E,MATCH(B22,Exigences!$A:$A,0))</f>
        <v/>
      </c>
      <c r="H22" s="25" t="n"/>
    </row>
    <row r="23" outlineLevel="1" ht="15" customHeight="1" s="20">
      <c r="A23" s="25" t="inlineStr">
        <is>
          <t>Dérivée</t>
        </is>
      </c>
      <c r="B23" s="26" t="inlineStr">
        <is>
          <t>D-A3-04</t>
        </is>
      </c>
      <c r="C23" s="25">
        <f>INDEX(Exigences!$D:$D,MATCH(B23,Exigences!$A:$A,0))</f>
        <v/>
      </c>
      <c r="D23" s="25">
        <f>INDEX(Exigences!$C:$C,MATCH(B23,Exigences!$A:$A,0))</f>
        <v/>
      </c>
      <c r="E23" s="25">
        <f>INDEX(Exigences!$F:$F,MATCH(B23,Exigences!$A:$A,0))</f>
        <v/>
      </c>
      <c r="F23" s="25">
        <f>INDEX(Exigences!$G:$G,MATCH(B23,Exigences!$A:$A,0))</f>
        <v/>
      </c>
      <c r="G23" s="25">
        <f>INDEX(Exigences!$E:$E,MATCH(B23,Exigences!$A:$A,0))</f>
        <v/>
      </c>
      <c r="H23" s="25" t="n"/>
    </row>
    <row r="24" outlineLevel="1" ht="15" customHeight="1" s="20">
      <c r="A24" s="25" t="inlineStr">
        <is>
          <t>Dérivée</t>
        </is>
      </c>
      <c r="B24" s="26" t="inlineStr">
        <is>
          <t>D-A3-11</t>
        </is>
      </c>
      <c r="C24" s="25">
        <f>INDEX(Exigences!$D:$D,MATCH(B24,Exigences!$A:$A,0))</f>
        <v/>
      </c>
      <c r="D24" s="25">
        <f>INDEX(Exigences!$C:$C,MATCH(B24,Exigences!$A:$A,0))</f>
        <v/>
      </c>
      <c r="E24" s="25">
        <f>INDEX(Exigences!$F:$F,MATCH(B24,Exigences!$A:$A,0))</f>
        <v/>
      </c>
      <c r="F24" s="25">
        <f>INDEX(Exigences!$G:$G,MATCH(B24,Exigences!$A:$A,0))</f>
        <v/>
      </c>
      <c r="G24" s="25">
        <f>INDEX(Exigences!$E:$E,MATCH(B24,Exigences!$A:$A,0))</f>
        <v/>
      </c>
      <c r="H24" s="25" t="n"/>
    </row>
    <row r="25" ht="15" customHeight="1" s="20">
      <c r="A25" s="24" t="inlineStr">
        <is>
          <t>Origine</t>
        </is>
      </c>
      <c r="B25" s="24" t="inlineStr">
        <is>
          <t>EX-A3</t>
        </is>
      </c>
      <c r="C25" s="24">
        <f>INDEX(Exigences!$D:$D,MATCH(B25,Exigences!$A:$A,0))</f>
        <v/>
      </c>
      <c r="D25" s="24">
        <f>INDEX(Exigences!$C:$C,MATCH(B25,Exigences!$A:$A,0))</f>
        <v/>
      </c>
      <c r="E25" s="24" t="n"/>
      <c r="F25" s="24" t="n"/>
      <c r="G25" s="24" t="n"/>
      <c r="H25" s="24">
        <f>INDEX(Exigences!$H:$H,MATCH(B25,Exigences!$A:$A,0))</f>
        <v/>
      </c>
    </row>
    <row r="26" outlineLevel="1" ht="15" customHeight="1" s="20">
      <c r="A26" s="25" t="inlineStr">
        <is>
          <t>Dérivée</t>
        </is>
      </c>
      <c r="B26" s="26" t="inlineStr">
        <is>
          <t>D-A1-08</t>
        </is>
      </c>
      <c r="C26" s="25">
        <f>INDEX(Exigences!$D:$D,MATCH(B26,Exigences!$A:$A,0))</f>
        <v/>
      </c>
      <c r="D26" s="25">
        <f>INDEX(Exigences!$C:$C,MATCH(B26,Exigences!$A:$A,0))</f>
        <v/>
      </c>
      <c r="E26" s="25">
        <f>INDEX(Exigences!$F:$F,MATCH(B26,Exigences!$A:$A,0))</f>
        <v/>
      </c>
      <c r="F26" s="25">
        <f>INDEX(Exigences!$G:$G,MATCH(B26,Exigences!$A:$A,0))</f>
        <v/>
      </c>
      <c r="G26" s="25">
        <f>INDEX(Exigences!$E:$E,MATCH(B26,Exigences!$A:$A,0))</f>
        <v/>
      </c>
      <c r="H26" s="25" t="n"/>
    </row>
    <row r="27" outlineLevel="1" ht="15" customHeight="1" s="20">
      <c r="A27" s="25" t="inlineStr">
        <is>
          <t>Dérivée</t>
        </is>
      </c>
      <c r="B27" s="26" t="inlineStr">
        <is>
          <t>D-A3-01</t>
        </is>
      </c>
      <c r="C27" s="25">
        <f>INDEX(Exigences!$D:$D,MATCH(B27,Exigences!$A:$A,0))</f>
        <v/>
      </c>
      <c r="D27" s="25">
        <f>INDEX(Exigences!$C:$C,MATCH(B27,Exigences!$A:$A,0))</f>
        <v/>
      </c>
      <c r="E27" s="25">
        <f>INDEX(Exigences!$F:$F,MATCH(B27,Exigences!$A:$A,0))</f>
        <v/>
      </c>
      <c r="F27" s="25">
        <f>INDEX(Exigences!$G:$G,MATCH(B27,Exigences!$A:$A,0))</f>
        <v/>
      </c>
      <c r="G27" s="25">
        <f>INDEX(Exigences!$E:$E,MATCH(B27,Exigences!$A:$A,0))</f>
        <v/>
      </c>
      <c r="H27" s="25" t="n"/>
    </row>
    <row r="28" outlineLevel="1" ht="15" customHeight="1" s="20">
      <c r="A28" s="25" t="inlineStr">
        <is>
          <t>Dérivée</t>
        </is>
      </c>
      <c r="B28" s="26" t="inlineStr">
        <is>
          <t>D-A3-02</t>
        </is>
      </c>
      <c r="C28" s="25">
        <f>INDEX(Exigences!$D:$D,MATCH(B28,Exigences!$A:$A,0))</f>
        <v/>
      </c>
      <c r="D28" s="25">
        <f>INDEX(Exigences!$C:$C,MATCH(B28,Exigences!$A:$A,0))</f>
        <v/>
      </c>
      <c r="E28" s="25">
        <f>INDEX(Exigences!$F:$F,MATCH(B28,Exigences!$A:$A,0))</f>
        <v/>
      </c>
      <c r="F28" s="25">
        <f>INDEX(Exigences!$G:$G,MATCH(B28,Exigences!$A:$A,0))</f>
        <v/>
      </c>
      <c r="G28" s="25">
        <f>INDEX(Exigences!$E:$E,MATCH(B28,Exigences!$A:$A,0))</f>
        <v/>
      </c>
      <c r="H28" s="25" t="n"/>
    </row>
    <row r="29" outlineLevel="1" ht="15" customHeight="1" s="20">
      <c r="A29" s="25" t="inlineStr">
        <is>
          <t>Dérivée</t>
        </is>
      </c>
      <c r="B29" s="26" t="inlineStr">
        <is>
          <t>D-A3-03</t>
        </is>
      </c>
      <c r="C29" s="25">
        <f>INDEX(Exigences!$D:$D,MATCH(B29,Exigences!$A:$A,0))</f>
        <v/>
      </c>
      <c r="D29" s="25">
        <f>INDEX(Exigences!$C:$C,MATCH(B29,Exigences!$A:$A,0))</f>
        <v/>
      </c>
      <c r="E29" s="25">
        <f>INDEX(Exigences!$F:$F,MATCH(B29,Exigences!$A:$A,0))</f>
        <v/>
      </c>
      <c r="F29" s="25">
        <f>INDEX(Exigences!$G:$G,MATCH(B29,Exigences!$A:$A,0))</f>
        <v/>
      </c>
      <c r="G29" s="25">
        <f>INDEX(Exigences!$E:$E,MATCH(B29,Exigences!$A:$A,0))</f>
        <v/>
      </c>
      <c r="H29" s="25" t="n"/>
    </row>
    <row r="30" outlineLevel="1" ht="15" customHeight="1" s="20">
      <c r="A30" s="25" t="inlineStr">
        <is>
          <t>Dérivée</t>
        </is>
      </c>
      <c r="B30" s="26" t="inlineStr">
        <is>
          <t>D-A3-06</t>
        </is>
      </c>
      <c r="C30" s="25">
        <f>INDEX(Exigences!$D:$D,MATCH(B30,Exigences!$A:$A,0))</f>
        <v/>
      </c>
      <c r="D30" s="25">
        <f>INDEX(Exigences!$C:$C,MATCH(B30,Exigences!$A:$A,0))</f>
        <v/>
      </c>
      <c r="E30" s="25">
        <f>INDEX(Exigences!$F:$F,MATCH(B30,Exigences!$A:$A,0))</f>
        <v/>
      </c>
      <c r="F30" s="25">
        <f>INDEX(Exigences!$G:$G,MATCH(B30,Exigences!$A:$A,0))</f>
        <v/>
      </c>
      <c r="G30" s="25">
        <f>INDEX(Exigences!$E:$E,MATCH(B30,Exigences!$A:$A,0))</f>
        <v/>
      </c>
      <c r="H30" s="25" t="n"/>
    </row>
    <row r="31" outlineLevel="1" ht="15" customHeight="1" s="20">
      <c r="A31" s="25" t="inlineStr">
        <is>
          <t>Dérivée</t>
        </is>
      </c>
      <c r="B31" s="26" t="inlineStr">
        <is>
          <t>D-A3-09</t>
        </is>
      </c>
      <c r="C31" s="25">
        <f>INDEX(Exigences!$D:$D,MATCH(B31,Exigences!$A:$A,0))</f>
        <v/>
      </c>
      <c r="D31" s="25">
        <f>INDEX(Exigences!$C:$C,MATCH(B31,Exigences!$A:$A,0))</f>
        <v/>
      </c>
      <c r="E31" s="25">
        <f>INDEX(Exigences!$F:$F,MATCH(B31,Exigences!$A:$A,0))</f>
        <v/>
      </c>
      <c r="F31" s="25">
        <f>INDEX(Exigences!$G:$G,MATCH(B31,Exigences!$A:$A,0))</f>
        <v/>
      </c>
      <c r="G31" s="25">
        <f>INDEX(Exigences!$E:$E,MATCH(B31,Exigences!$A:$A,0))</f>
        <v/>
      </c>
      <c r="H31" s="25" t="n"/>
    </row>
    <row r="32" outlineLevel="1" ht="15" customHeight="1" s="20">
      <c r="A32" s="25" t="inlineStr">
        <is>
          <t>Dérivée</t>
        </is>
      </c>
      <c r="B32" s="26" t="inlineStr">
        <is>
          <t>D-A3-10</t>
        </is>
      </c>
      <c r="C32" s="25">
        <f>INDEX(Exigences!$D:$D,MATCH(B32,Exigences!$A:$A,0))</f>
        <v/>
      </c>
      <c r="D32" s="25">
        <f>INDEX(Exigences!$C:$C,MATCH(B32,Exigences!$A:$A,0))</f>
        <v/>
      </c>
      <c r="E32" s="25">
        <f>INDEX(Exigences!$F:$F,MATCH(B32,Exigences!$A:$A,0))</f>
        <v/>
      </c>
      <c r="F32" s="25">
        <f>INDEX(Exigences!$G:$G,MATCH(B32,Exigences!$A:$A,0))</f>
        <v/>
      </c>
      <c r="G32" s="25">
        <f>INDEX(Exigences!$E:$E,MATCH(B32,Exigences!$A:$A,0))</f>
        <v/>
      </c>
      <c r="H32" s="25" t="n"/>
    </row>
    <row r="33" outlineLevel="1" ht="15" customHeight="1" s="20">
      <c r="A33" s="25" t="inlineStr">
        <is>
          <t>Dérivée</t>
        </is>
      </c>
      <c r="B33" s="26" t="inlineStr">
        <is>
          <t>D-A3-11</t>
        </is>
      </c>
      <c r="C33" s="25">
        <f>INDEX(Exigences!$D:$D,MATCH(B33,Exigences!$A:$A,0))</f>
        <v/>
      </c>
      <c r="D33" s="25">
        <f>INDEX(Exigences!$C:$C,MATCH(B33,Exigences!$A:$A,0))</f>
        <v/>
      </c>
      <c r="E33" s="25">
        <f>INDEX(Exigences!$F:$F,MATCH(B33,Exigences!$A:$A,0))</f>
        <v/>
      </c>
      <c r="F33" s="25">
        <f>INDEX(Exigences!$G:$G,MATCH(B33,Exigences!$A:$A,0))</f>
        <v/>
      </c>
      <c r="G33" s="25">
        <f>INDEX(Exigences!$E:$E,MATCH(B33,Exigences!$A:$A,0))</f>
        <v/>
      </c>
      <c r="H33" s="25" t="n"/>
    </row>
    <row r="34" outlineLevel="1" ht="15" customHeight="1" s="20">
      <c r="A34" s="25" t="inlineStr">
        <is>
          <t>Dérivée</t>
        </is>
      </c>
      <c r="B34" s="26" t="inlineStr">
        <is>
          <t>D-A3-14</t>
        </is>
      </c>
      <c r="C34" s="25">
        <f>INDEX(Exigences!$D:$D,MATCH(B34,Exigences!$A:$A,0))</f>
        <v/>
      </c>
      <c r="D34" s="25">
        <f>INDEX(Exigences!$C:$C,MATCH(B34,Exigences!$A:$A,0))</f>
        <v/>
      </c>
      <c r="E34" s="25">
        <f>INDEX(Exigences!$F:$F,MATCH(B34,Exigences!$A:$A,0))</f>
        <v/>
      </c>
      <c r="F34" s="25">
        <f>INDEX(Exigences!$G:$G,MATCH(B34,Exigences!$A:$A,0))</f>
        <v/>
      </c>
      <c r="G34" s="25">
        <f>INDEX(Exigences!$E:$E,MATCH(B34,Exigences!$A:$A,0))</f>
        <v/>
      </c>
      <c r="H34" s="25" t="n"/>
    </row>
    <row r="35" outlineLevel="1" ht="15" customHeight="1" s="20">
      <c r="A35" s="25" t="inlineStr">
        <is>
          <t>Dérivée</t>
        </is>
      </c>
      <c r="B35" s="26" t="inlineStr">
        <is>
          <t>D-T-03</t>
        </is>
      </c>
      <c r="C35" s="25">
        <f>INDEX(Exigences!$D:$D,MATCH(B35,Exigences!$A:$A,0))</f>
        <v/>
      </c>
      <c r="D35" s="25">
        <f>INDEX(Exigences!$C:$C,MATCH(B35,Exigences!$A:$A,0))</f>
        <v/>
      </c>
      <c r="E35" s="25">
        <f>INDEX(Exigences!$F:$F,MATCH(B35,Exigences!$A:$A,0))</f>
        <v/>
      </c>
      <c r="F35" s="25">
        <f>INDEX(Exigences!$G:$G,MATCH(B35,Exigences!$A:$A,0))</f>
        <v/>
      </c>
      <c r="G35" s="25">
        <f>INDEX(Exigences!$E:$E,MATCH(B35,Exigences!$A:$A,0))</f>
        <v/>
      </c>
      <c r="H35" s="25" t="n"/>
    </row>
    <row r="36" outlineLevel="1" ht="15" customHeight="1" s="20">
      <c r="A36" s="25" t="inlineStr">
        <is>
          <t>Dérivée</t>
        </is>
      </c>
      <c r="B36" s="26" t="inlineStr">
        <is>
          <t>D-V2-02</t>
        </is>
      </c>
      <c r="C36" s="25">
        <f>INDEX(Exigences!$D:$D,MATCH(B36,Exigences!$A:$A,0))</f>
        <v/>
      </c>
      <c r="D36" s="25">
        <f>INDEX(Exigences!$C:$C,MATCH(B36,Exigences!$A:$A,0))</f>
        <v/>
      </c>
      <c r="E36" s="25">
        <f>INDEX(Exigences!$F:$F,MATCH(B36,Exigences!$A:$A,0))</f>
        <v/>
      </c>
      <c r="F36" s="25">
        <f>INDEX(Exigences!$G:$G,MATCH(B36,Exigences!$A:$A,0))</f>
        <v/>
      </c>
      <c r="G36" s="25">
        <f>INDEX(Exigences!$E:$E,MATCH(B36,Exigences!$A:$A,0))</f>
        <v/>
      </c>
      <c r="H36" s="25" t="n"/>
    </row>
    <row r="37" ht="15" customHeight="1" s="20">
      <c r="A37" s="24" t="inlineStr">
        <is>
          <t>Origine</t>
        </is>
      </c>
      <c r="B37" s="24" t="inlineStr">
        <is>
          <t>EX-B1</t>
        </is>
      </c>
      <c r="C37" s="24">
        <f>INDEX(Exigences!$D:$D,MATCH(B37,Exigences!$A:$A,0))</f>
        <v/>
      </c>
      <c r="D37" s="24">
        <f>INDEX(Exigences!$C:$C,MATCH(B37,Exigences!$A:$A,0))</f>
        <v/>
      </c>
      <c r="E37" s="24" t="n"/>
      <c r="F37" s="24" t="n"/>
      <c r="G37" s="24" t="n"/>
      <c r="H37" s="24">
        <f>INDEX(Exigences!$H:$H,MATCH(B37,Exigences!$A:$A,0))</f>
        <v/>
      </c>
    </row>
    <row r="38" outlineLevel="1" ht="15" customHeight="1" s="20">
      <c r="A38" s="25" t="inlineStr">
        <is>
          <t>Dérivée</t>
        </is>
      </c>
      <c r="B38" s="26" t="inlineStr">
        <is>
          <t>D-A1-09</t>
        </is>
      </c>
      <c r="C38" s="25">
        <f>INDEX(Exigences!$D:$D,MATCH(B38,Exigences!$A:$A,0))</f>
        <v/>
      </c>
      <c r="D38" s="25">
        <f>INDEX(Exigences!$C:$C,MATCH(B38,Exigences!$A:$A,0))</f>
        <v/>
      </c>
      <c r="E38" s="25">
        <f>INDEX(Exigences!$F:$F,MATCH(B38,Exigences!$A:$A,0))</f>
        <v/>
      </c>
      <c r="F38" s="25">
        <f>INDEX(Exigences!$G:$G,MATCH(B38,Exigences!$A:$A,0))</f>
        <v/>
      </c>
      <c r="G38" s="25">
        <f>INDEX(Exigences!$E:$E,MATCH(B38,Exigences!$A:$A,0))</f>
        <v/>
      </c>
      <c r="H38" s="25" t="n"/>
    </row>
    <row r="39" outlineLevel="1" ht="15" customHeight="1" s="20">
      <c r="A39" s="25" t="inlineStr">
        <is>
          <t>Dérivée</t>
        </is>
      </c>
      <c r="B39" s="26" t="inlineStr">
        <is>
          <t>D-B-01</t>
        </is>
      </c>
      <c r="C39" s="25">
        <f>INDEX(Exigences!$D:$D,MATCH(B39,Exigences!$A:$A,0))</f>
        <v/>
      </c>
      <c r="D39" s="25">
        <f>INDEX(Exigences!$C:$C,MATCH(B39,Exigences!$A:$A,0))</f>
        <v/>
      </c>
      <c r="E39" s="25">
        <f>INDEX(Exigences!$F:$F,MATCH(B39,Exigences!$A:$A,0))</f>
        <v/>
      </c>
      <c r="F39" s="25">
        <f>INDEX(Exigences!$G:$G,MATCH(B39,Exigences!$A:$A,0))</f>
        <v/>
      </c>
      <c r="G39" s="25">
        <f>INDEX(Exigences!$E:$E,MATCH(B39,Exigences!$A:$A,0))</f>
        <v/>
      </c>
      <c r="H39" s="25" t="n"/>
    </row>
    <row r="40" outlineLevel="1" ht="15" customHeight="1" s="20">
      <c r="A40" s="25" t="inlineStr">
        <is>
          <t>Dérivée</t>
        </is>
      </c>
      <c r="B40" s="26" t="inlineStr">
        <is>
          <t>D-B-02</t>
        </is>
      </c>
      <c r="C40" s="25">
        <f>INDEX(Exigences!$D:$D,MATCH(B40,Exigences!$A:$A,0))</f>
        <v/>
      </c>
      <c r="D40" s="25">
        <f>INDEX(Exigences!$C:$C,MATCH(B40,Exigences!$A:$A,0))</f>
        <v/>
      </c>
      <c r="E40" s="25">
        <f>INDEX(Exigences!$F:$F,MATCH(B40,Exigences!$A:$A,0))</f>
        <v/>
      </c>
      <c r="F40" s="25">
        <f>INDEX(Exigences!$G:$G,MATCH(B40,Exigences!$A:$A,0))</f>
        <v/>
      </c>
      <c r="G40" s="25">
        <f>INDEX(Exigences!$E:$E,MATCH(B40,Exigences!$A:$A,0))</f>
        <v/>
      </c>
      <c r="H40" s="25" t="n"/>
    </row>
    <row r="41" ht="15" customHeight="1" s="20">
      <c r="A41" s="24" t="inlineStr">
        <is>
          <t>Origine</t>
        </is>
      </c>
      <c r="B41" s="24" t="inlineStr">
        <is>
          <t>EX-C1</t>
        </is>
      </c>
      <c r="C41" s="24">
        <f>INDEX(Exigences!$D:$D,MATCH(B41,Exigences!$A:$A,0))</f>
        <v/>
      </c>
      <c r="D41" s="24">
        <f>INDEX(Exigences!$C:$C,MATCH(B41,Exigences!$A:$A,0))</f>
        <v/>
      </c>
      <c r="E41" s="24" t="n"/>
      <c r="F41" s="24" t="n"/>
      <c r="G41" s="24" t="n"/>
      <c r="H41" s="24">
        <f>INDEX(Exigences!$H:$H,MATCH(B41,Exigences!$A:$A,0))</f>
        <v/>
      </c>
    </row>
    <row r="42" outlineLevel="1" ht="15" customHeight="1" s="20">
      <c r="A42" s="25" t="inlineStr">
        <is>
          <t>Dérivée</t>
        </is>
      </c>
      <c r="B42" s="26" t="inlineStr">
        <is>
          <t>D-C-01</t>
        </is>
      </c>
      <c r="C42" s="25">
        <f>INDEX(Exigences!$D:$D,MATCH(B42,Exigences!$A:$A,0))</f>
        <v/>
      </c>
      <c r="D42" s="25">
        <f>INDEX(Exigences!$C:$C,MATCH(B42,Exigences!$A:$A,0))</f>
        <v/>
      </c>
      <c r="E42" s="25">
        <f>INDEX(Exigences!$F:$F,MATCH(B42,Exigences!$A:$A,0))</f>
        <v/>
      </c>
      <c r="F42" s="25">
        <f>INDEX(Exigences!$G:$G,MATCH(B42,Exigences!$A:$A,0))</f>
        <v/>
      </c>
      <c r="G42" s="25">
        <f>INDEX(Exigences!$E:$E,MATCH(B42,Exigences!$A:$A,0))</f>
        <v/>
      </c>
      <c r="H42" s="25" t="n"/>
    </row>
    <row r="43" outlineLevel="1" ht="15" customHeight="1" s="20">
      <c r="A43" s="25" t="inlineStr">
        <is>
          <t>Dérivée</t>
        </is>
      </c>
      <c r="B43" s="26" t="inlineStr">
        <is>
          <t>D-C-03</t>
        </is>
      </c>
      <c r="C43" s="25">
        <f>INDEX(Exigences!$D:$D,MATCH(B43,Exigences!$A:$A,0))</f>
        <v/>
      </c>
      <c r="D43" s="25">
        <f>INDEX(Exigences!$C:$C,MATCH(B43,Exigences!$A:$A,0))</f>
        <v/>
      </c>
      <c r="E43" s="25">
        <f>INDEX(Exigences!$F:$F,MATCH(B43,Exigences!$A:$A,0))</f>
        <v/>
      </c>
      <c r="F43" s="25">
        <f>INDEX(Exigences!$G:$G,MATCH(B43,Exigences!$A:$A,0))</f>
        <v/>
      </c>
      <c r="G43" s="25">
        <f>INDEX(Exigences!$E:$E,MATCH(B43,Exigences!$A:$A,0))</f>
        <v/>
      </c>
      <c r="H43" s="25" t="n"/>
    </row>
    <row r="44" ht="15" customHeight="1" s="20">
      <c r="A44" s="24" t="inlineStr">
        <is>
          <t>Origine</t>
        </is>
      </c>
      <c r="B44" s="24" t="inlineStr">
        <is>
          <t>EX-C2</t>
        </is>
      </c>
      <c r="C44" s="24">
        <f>INDEX(Exigences!$D:$D,MATCH(B44,Exigences!$A:$A,0))</f>
        <v/>
      </c>
      <c r="D44" s="24">
        <f>INDEX(Exigences!$C:$C,MATCH(B44,Exigences!$A:$A,0))</f>
        <v/>
      </c>
      <c r="E44" s="24" t="n"/>
      <c r="F44" s="24" t="n"/>
      <c r="G44" s="24" t="n"/>
      <c r="H44" s="24">
        <f>INDEX(Exigences!$H:$H,MATCH(B44,Exigences!$A:$A,0))</f>
        <v/>
      </c>
    </row>
    <row r="45" outlineLevel="1" ht="15" customHeight="1" s="20">
      <c r="A45" s="25" t="inlineStr">
        <is>
          <t>Dérivée</t>
        </is>
      </c>
      <c r="B45" s="26" t="inlineStr">
        <is>
          <t>D-A2-03</t>
        </is>
      </c>
      <c r="C45" s="25">
        <f>INDEX(Exigences!$D:$D,MATCH(B45,Exigences!$A:$A,0))</f>
        <v/>
      </c>
      <c r="D45" s="25">
        <f>INDEX(Exigences!$C:$C,MATCH(B45,Exigences!$A:$A,0))</f>
        <v/>
      </c>
      <c r="E45" s="25">
        <f>INDEX(Exigences!$F:$F,MATCH(B45,Exigences!$A:$A,0))</f>
        <v/>
      </c>
      <c r="F45" s="25">
        <f>INDEX(Exigences!$G:$G,MATCH(B45,Exigences!$A:$A,0))</f>
        <v/>
      </c>
      <c r="G45" s="25">
        <f>INDEX(Exigences!$E:$E,MATCH(B45,Exigences!$A:$A,0))</f>
        <v/>
      </c>
      <c r="H45" s="25" t="n"/>
    </row>
    <row r="46" outlineLevel="1" ht="15" customHeight="1" s="20">
      <c r="A46" s="25" t="inlineStr">
        <is>
          <t>Dérivée</t>
        </is>
      </c>
      <c r="B46" s="26" t="inlineStr">
        <is>
          <t>D-C-02</t>
        </is>
      </c>
      <c r="C46" s="25">
        <f>INDEX(Exigences!$D:$D,MATCH(B46,Exigences!$A:$A,0))</f>
        <v/>
      </c>
      <c r="D46" s="25">
        <f>INDEX(Exigences!$C:$C,MATCH(B46,Exigences!$A:$A,0))</f>
        <v/>
      </c>
      <c r="E46" s="25">
        <f>INDEX(Exigences!$F:$F,MATCH(B46,Exigences!$A:$A,0))</f>
        <v/>
      </c>
      <c r="F46" s="25">
        <f>INDEX(Exigences!$G:$G,MATCH(B46,Exigences!$A:$A,0))</f>
        <v/>
      </c>
      <c r="G46" s="25">
        <f>INDEX(Exigences!$E:$E,MATCH(B46,Exigences!$A:$A,0))</f>
        <v/>
      </c>
      <c r="H46" s="25" t="n"/>
    </row>
    <row r="47" ht="15" customHeight="1" s="20">
      <c r="A47" s="24" t="inlineStr">
        <is>
          <t>Origine</t>
        </is>
      </c>
      <c r="B47" s="24" t="inlineStr">
        <is>
          <t>EX-C3</t>
        </is>
      </c>
      <c r="C47" s="24">
        <f>INDEX(Exigences!$D:$D,MATCH(B47,Exigences!$A:$A,0))</f>
        <v/>
      </c>
      <c r="D47" s="24">
        <f>INDEX(Exigences!$C:$C,MATCH(B47,Exigences!$A:$A,0))</f>
        <v/>
      </c>
      <c r="E47" s="24" t="n"/>
      <c r="F47" s="24" t="n"/>
      <c r="G47" s="24" t="n"/>
      <c r="H47" s="24">
        <f>INDEX(Exigences!$H:$H,MATCH(B47,Exigences!$A:$A,0))</f>
        <v/>
      </c>
    </row>
    <row r="48" outlineLevel="1" ht="15" customHeight="1" s="20">
      <c r="A48" s="25" t="inlineStr">
        <is>
          <t>Dérivée</t>
        </is>
      </c>
      <c r="B48" s="26" t="inlineStr">
        <is>
          <t>D-C-04</t>
        </is>
      </c>
      <c r="C48" s="25">
        <f>INDEX(Exigences!$D:$D,MATCH(B48,Exigences!$A:$A,0))</f>
        <v/>
      </c>
      <c r="D48" s="25">
        <f>INDEX(Exigences!$C:$C,MATCH(B48,Exigences!$A:$A,0))</f>
        <v/>
      </c>
      <c r="E48" s="25">
        <f>INDEX(Exigences!$F:$F,MATCH(B48,Exigences!$A:$A,0))</f>
        <v/>
      </c>
      <c r="F48" s="25">
        <f>INDEX(Exigences!$G:$G,MATCH(B48,Exigences!$A:$A,0))</f>
        <v/>
      </c>
      <c r="G48" s="25">
        <f>INDEX(Exigences!$E:$E,MATCH(B48,Exigences!$A:$A,0))</f>
        <v/>
      </c>
      <c r="H48" s="25" t="n"/>
    </row>
    <row r="49" outlineLevel="1" ht="15" customHeight="1" s="20">
      <c r="A49" s="25" t="inlineStr">
        <is>
          <t>Dérivée</t>
        </is>
      </c>
      <c r="B49" s="26" t="inlineStr">
        <is>
          <t>D-C-05</t>
        </is>
      </c>
      <c r="C49" s="25">
        <f>INDEX(Exigences!$D:$D,MATCH(B49,Exigences!$A:$A,0))</f>
        <v/>
      </c>
      <c r="D49" s="25">
        <f>INDEX(Exigences!$C:$C,MATCH(B49,Exigences!$A:$A,0))</f>
        <v/>
      </c>
      <c r="E49" s="25">
        <f>INDEX(Exigences!$F:$F,MATCH(B49,Exigences!$A:$A,0))</f>
        <v/>
      </c>
      <c r="F49" s="25">
        <f>INDEX(Exigences!$G:$G,MATCH(B49,Exigences!$A:$A,0))</f>
        <v/>
      </c>
      <c r="G49" s="25">
        <f>INDEX(Exigences!$E:$E,MATCH(B49,Exigences!$A:$A,0))</f>
        <v/>
      </c>
      <c r="H49" s="25" t="n"/>
    </row>
    <row r="50" outlineLevel="1" ht="15" customHeight="1" s="20">
      <c r="A50" s="25" t="inlineStr">
        <is>
          <t>Dérivée</t>
        </is>
      </c>
      <c r="B50" s="26" t="inlineStr">
        <is>
          <t>D-C-06</t>
        </is>
      </c>
      <c r="C50" s="25">
        <f>INDEX(Exigences!$D:$D,MATCH(B50,Exigences!$A:$A,0))</f>
        <v/>
      </c>
      <c r="D50" s="25">
        <f>INDEX(Exigences!$C:$C,MATCH(B50,Exigences!$A:$A,0))</f>
        <v/>
      </c>
      <c r="E50" s="25">
        <f>INDEX(Exigences!$F:$F,MATCH(B50,Exigences!$A:$A,0))</f>
        <v/>
      </c>
      <c r="F50" s="25">
        <f>INDEX(Exigences!$G:$G,MATCH(B50,Exigences!$A:$A,0))</f>
        <v/>
      </c>
      <c r="G50" s="25">
        <f>INDEX(Exigences!$E:$E,MATCH(B50,Exigences!$A:$A,0))</f>
        <v/>
      </c>
      <c r="H50" s="25" t="n"/>
    </row>
    <row r="51" outlineLevel="1" ht="15" customHeight="1" s="20">
      <c r="A51" s="25" t="inlineStr">
        <is>
          <t>Dérivée</t>
        </is>
      </c>
      <c r="B51" s="26" t="inlineStr">
        <is>
          <t>D-C-07</t>
        </is>
      </c>
      <c r="C51" s="25">
        <f>INDEX(Exigences!$D:$D,MATCH(B51,Exigences!$A:$A,0))</f>
        <v/>
      </c>
      <c r="D51" s="25">
        <f>INDEX(Exigences!$C:$C,MATCH(B51,Exigences!$A:$A,0))</f>
        <v/>
      </c>
      <c r="E51" s="25">
        <f>INDEX(Exigences!$F:$F,MATCH(B51,Exigences!$A:$A,0))</f>
        <v/>
      </c>
      <c r="F51" s="25">
        <f>INDEX(Exigences!$G:$G,MATCH(B51,Exigences!$A:$A,0))</f>
        <v/>
      </c>
      <c r="G51" s="25">
        <f>INDEX(Exigences!$E:$E,MATCH(B51,Exigences!$A:$A,0))</f>
        <v/>
      </c>
      <c r="H51" s="25" t="n"/>
    </row>
    <row r="52" ht="15" customHeight="1" s="20">
      <c r="A52" s="24" t="inlineStr">
        <is>
          <t>Origine</t>
        </is>
      </c>
      <c r="B52" s="24" t="inlineStr">
        <is>
          <t>EX-D1</t>
        </is>
      </c>
      <c r="C52" s="24">
        <f>INDEX(Exigences!$D:$D,MATCH(B52,Exigences!$A:$A,0))</f>
        <v/>
      </c>
      <c r="D52" s="24">
        <f>INDEX(Exigences!$C:$C,MATCH(B52,Exigences!$A:$A,0))</f>
        <v/>
      </c>
      <c r="E52" s="24" t="n"/>
      <c r="F52" s="24" t="n"/>
      <c r="G52" s="24" t="n"/>
      <c r="H52" s="24">
        <f>INDEX(Exigences!$H:$H,MATCH(B52,Exigences!$A:$A,0))</f>
        <v/>
      </c>
    </row>
    <row r="53" outlineLevel="1" ht="15" customHeight="1" s="20">
      <c r="A53" s="25" t="inlineStr">
        <is>
          <t>Dérivée</t>
        </is>
      </c>
      <c r="B53" s="26" t="inlineStr">
        <is>
          <t>D-D-01</t>
        </is>
      </c>
      <c r="C53" s="25">
        <f>INDEX(Exigences!$D:$D,MATCH(B53,Exigences!$A:$A,0))</f>
        <v/>
      </c>
      <c r="D53" s="25">
        <f>INDEX(Exigences!$C:$C,MATCH(B53,Exigences!$A:$A,0))</f>
        <v/>
      </c>
      <c r="E53" s="25">
        <f>INDEX(Exigences!$F:$F,MATCH(B53,Exigences!$A:$A,0))</f>
        <v/>
      </c>
      <c r="F53" s="25">
        <f>INDEX(Exigences!$G:$G,MATCH(B53,Exigences!$A:$A,0))</f>
        <v/>
      </c>
      <c r="G53" s="25">
        <f>INDEX(Exigences!$E:$E,MATCH(B53,Exigences!$A:$A,0))</f>
        <v/>
      </c>
      <c r="H53" s="25" t="n"/>
    </row>
    <row r="54" outlineLevel="1" ht="15" customHeight="1" s="20">
      <c r="A54" s="25" t="inlineStr">
        <is>
          <t>Dérivée</t>
        </is>
      </c>
      <c r="B54" s="26" t="inlineStr">
        <is>
          <t>D-D-08</t>
        </is>
      </c>
      <c r="C54" s="25">
        <f>INDEX(Exigences!$D:$D,MATCH(B54,Exigences!$A:$A,0))</f>
        <v/>
      </c>
      <c r="D54" s="25">
        <f>INDEX(Exigences!$C:$C,MATCH(B54,Exigences!$A:$A,0))</f>
        <v/>
      </c>
      <c r="E54" s="25">
        <f>INDEX(Exigences!$F:$F,MATCH(B54,Exigences!$A:$A,0))</f>
        <v/>
      </c>
      <c r="F54" s="25">
        <f>INDEX(Exigences!$G:$G,MATCH(B54,Exigences!$A:$A,0))</f>
        <v/>
      </c>
      <c r="G54" s="25">
        <f>INDEX(Exigences!$E:$E,MATCH(B54,Exigences!$A:$A,0))</f>
        <v/>
      </c>
      <c r="H54" s="25" t="n"/>
    </row>
    <row r="55" ht="15" customHeight="1" s="20">
      <c r="A55" s="24" t="inlineStr">
        <is>
          <t>Origine</t>
        </is>
      </c>
      <c r="B55" s="24" t="inlineStr">
        <is>
          <t>EX-D2</t>
        </is>
      </c>
      <c r="C55" s="24">
        <f>INDEX(Exigences!$D:$D,MATCH(B55,Exigences!$A:$A,0))</f>
        <v/>
      </c>
      <c r="D55" s="24">
        <f>INDEX(Exigences!$C:$C,MATCH(B55,Exigences!$A:$A,0))</f>
        <v/>
      </c>
      <c r="E55" s="24" t="n"/>
      <c r="F55" s="24" t="n"/>
      <c r="G55" s="24" t="n"/>
      <c r="H55" s="24">
        <f>INDEX(Exigences!$H:$H,MATCH(B55,Exigences!$A:$A,0))</f>
        <v/>
      </c>
    </row>
    <row r="56" outlineLevel="1" ht="15" customHeight="1" s="20">
      <c r="A56" s="25" t="inlineStr">
        <is>
          <t>Dérivée</t>
        </is>
      </c>
      <c r="B56" s="26" t="inlineStr">
        <is>
          <t>D-A1-04</t>
        </is>
      </c>
      <c r="C56" s="25">
        <f>INDEX(Exigences!$D:$D,MATCH(B56,Exigences!$A:$A,0))</f>
        <v/>
      </c>
      <c r="D56" s="25">
        <f>INDEX(Exigences!$C:$C,MATCH(B56,Exigences!$A:$A,0))</f>
        <v/>
      </c>
      <c r="E56" s="25">
        <f>INDEX(Exigences!$F:$F,MATCH(B56,Exigences!$A:$A,0))</f>
        <v/>
      </c>
      <c r="F56" s="25">
        <f>INDEX(Exigences!$G:$G,MATCH(B56,Exigences!$A:$A,0))</f>
        <v/>
      </c>
      <c r="G56" s="25">
        <f>INDEX(Exigences!$E:$E,MATCH(B56,Exigences!$A:$A,0))</f>
        <v/>
      </c>
      <c r="H56" s="25" t="n"/>
    </row>
    <row r="57" outlineLevel="1" ht="15" customHeight="1" s="20">
      <c r="A57" s="25" t="inlineStr">
        <is>
          <t>Dérivée</t>
        </is>
      </c>
      <c r="B57" s="26" t="inlineStr">
        <is>
          <t>D-D-02</t>
        </is>
      </c>
      <c r="C57" s="25">
        <f>INDEX(Exigences!$D:$D,MATCH(B57,Exigences!$A:$A,0))</f>
        <v/>
      </c>
      <c r="D57" s="25">
        <f>INDEX(Exigences!$C:$C,MATCH(B57,Exigences!$A:$A,0))</f>
        <v/>
      </c>
      <c r="E57" s="25">
        <f>INDEX(Exigences!$F:$F,MATCH(B57,Exigences!$A:$A,0))</f>
        <v/>
      </c>
      <c r="F57" s="25">
        <f>INDEX(Exigences!$G:$G,MATCH(B57,Exigences!$A:$A,0))</f>
        <v/>
      </c>
      <c r="G57" s="25">
        <f>INDEX(Exigences!$E:$E,MATCH(B57,Exigences!$A:$A,0))</f>
        <v/>
      </c>
      <c r="H57" s="25" t="n"/>
    </row>
    <row r="58" outlineLevel="1" ht="15" customHeight="1" s="20">
      <c r="A58" s="25" t="inlineStr">
        <is>
          <t>Dérivée</t>
        </is>
      </c>
      <c r="B58" s="26" t="inlineStr">
        <is>
          <t>D-D-03</t>
        </is>
      </c>
      <c r="C58" s="25">
        <f>INDEX(Exigences!$D:$D,MATCH(B58,Exigences!$A:$A,0))</f>
        <v/>
      </c>
      <c r="D58" s="25">
        <f>INDEX(Exigences!$C:$C,MATCH(B58,Exigences!$A:$A,0))</f>
        <v/>
      </c>
      <c r="E58" s="25">
        <f>INDEX(Exigences!$F:$F,MATCH(B58,Exigences!$A:$A,0))</f>
        <v/>
      </c>
      <c r="F58" s="25">
        <f>INDEX(Exigences!$G:$G,MATCH(B58,Exigences!$A:$A,0))</f>
        <v/>
      </c>
      <c r="G58" s="25">
        <f>INDEX(Exigences!$E:$E,MATCH(B58,Exigences!$A:$A,0))</f>
        <v/>
      </c>
      <c r="H58" s="25" t="n"/>
    </row>
    <row r="59" ht="15" customHeight="1" s="20">
      <c r="A59" s="24" t="inlineStr">
        <is>
          <t>Origine</t>
        </is>
      </c>
      <c r="B59" s="24" t="inlineStr">
        <is>
          <t>EX-E1</t>
        </is>
      </c>
      <c r="C59" s="24">
        <f>INDEX(Exigences!$D:$D,MATCH(B59,Exigences!$A:$A,0))</f>
        <v/>
      </c>
      <c r="D59" s="24">
        <f>INDEX(Exigences!$C:$C,MATCH(B59,Exigences!$A:$A,0))</f>
        <v/>
      </c>
      <c r="E59" s="24" t="n"/>
      <c r="F59" s="24" t="n"/>
      <c r="G59" s="24" t="n"/>
      <c r="H59" s="24">
        <f>INDEX(Exigences!$H:$H,MATCH(B59,Exigences!$A:$A,0))</f>
        <v/>
      </c>
    </row>
    <row r="60" outlineLevel="1" ht="15" customHeight="1" s="20">
      <c r="A60" s="25" t="inlineStr">
        <is>
          <t>Dérivée</t>
        </is>
      </c>
      <c r="B60" s="26" t="inlineStr">
        <is>
          <t>D-V2-03</t>
        </is>
      </c>
      <c r="C60" s="25">
        <f>INDEX(Exigences!$D:$D,MATCH(B60,Exigences!$A:$A,0))</f>
        <v/>
      </c>
      <c r="D60" s="25">
        <f>INDEX(Exigences!$C:$C,MATCH(B60,Exigences!$A:$A,0))</f>
        <v/>
      </c>
      <c r="E60" s="25">
        <f>INDEX(Exigences!$F:$F,MATCH(B60,Exigences!$A:$A,0))</f>
        <v/>
      </c>
      <c r="F60" s="25">
        <f>INDEX(Exigences!$G:$G,MATCH(B60,Exigences!$A:$A,0))</f>
        <v/>
      </c>
      <c r="G60" s="25">
        <f>INDEX(Exigences!$E:$E,MATCH(B60,Exigences!$A:$A,0))</f>
        <v/>
      </c>
      <c r="H60" s="25" t="n"/>
    </row>
    <row r="61" ht="15" customHeight="1" s="20">
      <c r="A61" s="24" t="inlineStr">
        <is>
          <t>Origine</t>
        </is>
      </c>
      <c r="B61" s="24" t="inlineStr">
        <is>
          <t>EX-E2</t>
        </is>
      </c>
      <c r="C61" s="24">
        <f>INDEX(Exigences!$D:$D,MATCH(B61,Exigences!$A:$A,0))</f>
        <v/>
      </c>
      <c r="D61" s="24">
        <f>INDEX(Exigences!$C:$C,MATCH(B61,Exigences!$A:$A,0))</f>
        <v/>
      </c>
      <c r="E61" s="24" t="n"/>
      <c r="F61" s="24" t="n"/>
      <c r="G61" s="24" t="n"/>
      <c r="H61" s="24">
        <f>INDEX(Exigences!$H:$H,MATCH(B61,Exigences!$A:$A,0))</f>
        <v/>
      </c>
    </row>
    <row r="62" outlineLevel="1" ht="15" customHeight="1" s="20">
      <c r="A62" s="25" t="inlineStr">
        <is>
          <t>Dérivée</t>
        </is>
      </c>
      <c r="B62" s="26" t="inlineStr">
        <is>
          <t>D-A1-09</t>
        </is>
      </c>
      <c r="C62" s="25">
        <f>INDEX(Exigences!$D:$D,MATCH(B62,Exigences!$A:$A,0))</f>
        <v/>
      </c>
      <c r="D62" s="25">
        <f>INDEX(Exigences!$C:$C,MATCH(B62,Exigences!$A:$A,0))</f>
        <v/>
      </c>
      <c r="E62" s="25">
        <f>INDEX(Exigences!$F:$F,MATCH(B62,Exigences!$A:$A,0))</f>
        <v/>
      </c>
      <c r="F62" s="25">
        <f>INDEX(Exigences!$G:$G,MATCH(B62,Exigences!$A:$A,0))</f>
        <v/>
      </c>
      <c r="G62" s="25">
        <f>INDEX(Exigences!$E:$E,MATCH(B62,Exigences!$A:$A,0))</f>
        <v/>
      </c>
      <c r="H62" s="25" t="n"/>
    </row>
    <row r="63" outlineLevel="1" ht="15" customHeight="1" s="20">
      <c r="A63" s="25" t="inlineStr">
        <is>
          <t>Dérivée</t>
        </is>
      </c>
      <c r="B63" s="26" t="inlineStr">
        <is>
          <t>D-B-02</t>
        </is>
      </c>
      <c r="C63" s="25">
        <f>INDEX(Exigences!$D:$D,MATCH(B63,Exigences!$A:$A,0))</f>
        <v/>
      </c>
      <c r="D63" s="25">
        <f>INDEX(Exigences!$C:$C,MATCH(B63,Exigences!$A:$A,0))</f>
        <v/>
      </c>
      <c r="E63" s="25">
        <f>INDEX(Exigences!$F:$F,MATCH(B63,Exigences!$A:$A,0))</f>
        <v/>
      </c>
      <c r="F63" s="25">
        <f>INDEX(Exigences!$G:$G,MATCH(B63,Exigences!$A:$A,0))</f>
        <v/>
      </c>
      <c r="G63" s="25">
        <f>INDEX(Exigences!$E:$E,MATCH(B63,Exigences!$A:$A,0))</f>
        <v/>
      </c>
      <c r="H63" s="25" t="n"/>
    </row>
    <row r="64" outlineLevel="1" ht="15" customHeight="1" s="20">
      <c r="A64" s="25" t="inlineStr">
        <is>
          <t>Dérivée</t>
        </is>
      </c>
      <c r="B64" s="26" t="inlineStr">
        <is>
          <t>D-V2-04</t>
        </is>
      </c>
      <c r="C64" s="25">
        <f>INDEX(Exigences!$D:$D,MATCH(B64,Exigences!$A:$A,0))</f>
        <v/>
      </c>
      <c r="D64" s="25">
        <f>INDEX(Exigences!$C:$C,MATCH(B64,Exigences!$A:$A,0))</f>
        <v/>
      </c>
      <c r="E64" s="25">
        <f>INDEX(Exigences!$F:$F,MATCH(B64,Exigences!$A:$A,0))</f>
        <v/>
      </c>
      <c r="F64" s="25">
        <f>INDEX(Exigences!$G:$G,MATCH(B64,Exigences!$A:$A,0))</f>
        <v/>
      </c>
      <c r="G64" s="25">
        <f>INDEX(Exigences!$E:$E,MATCH(B64,Exigences!$A:$A,0))</f>
        <v/>
      </c>
      <c r="H64" s="25" t="n"/>
    </row>
    <row r="65" ht="15" customHeight="1" s="20">
      <c r="A65" s="24" t="inlineStr">
        <is>
          <t>Origine</t>
        </is>
      </c>
      <c r="B65" s="24" t="inlineStr">
        <is>
          <t>EX-E3</t>
        </is>
      </c>
      <c r="C65" s="24">
        <f>INDEX(Exigences!$D:$D,MATCH(B65,Exigences!$A:$A,0))</f>
        <v/>
      </c>
      <c r="D65" s="24">
        <f>INDEX(Exigences!$C:$C,MATCH(B65,Exigences!$A:$A,0))</f>
        <v/>
      </c>
      <c r="E65" s="24" t="n"/>
      <c r="F65" s="24" t="n"/>
      <c r="G65" s="24" t="n"/>
      <c r="H65" s="24">
        <f>INDEX(Exigences!$H:$H,MATCH(B65,Exigences!$A:$A,0))</f>
        <v/>
      </c>
    </row>
    <row r="66" outlineLevel="1" ht="15" customHeight="1" s="20">
      <c r="A66" s="25" t="inlineStr">
        <is>
          <t>Dérivée</t>
        </is>
      </c>
      <c r="B66" s="26" t="inlineStr">
        <is>
          <t>D-T-02</t>
        </is>
      </c>
      <c r="C66" s="25">
        <f>INDEX(Exigences!$D:$D,MATCH(B66,Exigences!$A:$A,0))</f>
        <v/>
      </c>
      <c r="D66" s="25">
        <f>INDEX(Exigences!$C:$C,MATCH(B66,Exigences!$A:$A,0))</f>
        <v/>
      </c>
      <c r="E66" s="25">
        <f>INDEX(Exigences!$F:$F,MATCH(B66,Exigences!$A:$A,0))</f>
        <v/>
      </c>
      <c r="F66" s="25">
        <f>INDEX(Exigences!$G:$G,MATCH(B66,Exigences!$A:$A,0))</f>
        <v/>
      </c>
      <c r="G66" s="25">
        <f>INDEX(Exigences!$E:$E,MATCH(B66,Exigences!$A:$A,0))</f>
        <v/>
      </c>
      <c r="H66" s="25" t="n"/>
    </row>
    <row r="67" outlineLevel="1" ht="15" customHeight="1" s="20">
      <c r="A67" s="25" t="inlineStr">
        <is>
          <t>Dérivée</t>
        </is>
      </c>
      <c r="B67" s="26" t="inlineStr">
        <is>
          <t>D-V2-05</t>
        </is>
      </c>
      <c r="C67" s="25">
        <f>INDEX(Exigences!$D:$D,MATCH(B67,Exigences!$A:$A,0))</f>
        <v/>
      </c>
      <c r="D67" s="25">
        <f>INDEX(Exigences!$C:$C,MATCH(B67,Exigences!$A:$A,0))</f>
        <v/>
      </c>
      <c r="E67" s="25">
        <f>INDEX(Exigences!$F:$F,MATCH(B67,Exigences!$A:$A,0))</f>
        <v/>
      </c>
      <c r="F67" s="25">
        <f>INDEX(Exigences!$G:$G,MATCH(B67,Exigences!$A:$A,0))</f>
        <v/>
      </c>
      <c r="G67" s="25">
        <f>INDEX(Exigences!$E:$E,MATCH(B67,Exigences!$A:$A,0))</f>
        <v/>
      </c>
      <c r="H67" s="25" t="n"/>
    </row>
    <row r="68" outlineLevel="1" ht="15" customHeight="1" s="20">
      <c r="A68" s="25" t="inlineStr">
        <is>
          <t>Dérivée</t>
        </is>
      </c>
      <c r="B68" s="26" t="inlineStr">
        <is>
          <t>D-V2-06</t>
        </is>
      </c>
      <c r="C68" s="25">
        <f>INDEX(Exigences!$D:$D,MATCH(B68,Exigences!$A:$A,0))</f>
        <v/>
      </c>
      <c r="D68" s="25">
        <f>INDEX(Exigences!$C:$C,MATCH(B68,Exigences!$A:$A,0))</f>
        <v/>
      </c>
      <c r="E68" s="25">
        <f>INDEX(Exigences!$F:$F,MATCH(B68,Exigences!$A:$A,0))</f>
        <v/>
      </c>
      <c r="F68" s="25">
        <f>INDEX(Exigences!$G:$G,MATCH(B68,Exigences!$A:$A,0))</f>
        <v/>
      </c>
      <c r="G68" s="25">
        <f>INDEX(Exigences!$E:$E,MATCH(B68,Exigences!$A:$A,0))</f>
        <v/>
      </c>
      <c r="H68" s="25" t="n"/>
    </row>
    <row r="69" ht="15" customHeight="1" s="20">
      <c r="A69" s="24" t="inlineStr">
        <is>
          <t>Origine</t>
        </is>
      </c>
      <c r="B69" s="24" t="inlineStr">
        <is>
          <t>EX-E4</t>
        </is>
      </c>
      <c r="C69" s="24">
        <f>INDEX(Exigences!$D:$D,MATCH(B69,Exigences!$A:$A,0))</f>
        <v/>
      </c>
      <c r="D69" s="24">
        <f>INDEX(Exigences!$C:$C,MATCH(B69,Exigences!$A:$A,0))</f>
        <v/>
      </c>
      <c r="E69" s="24" t="n"/>
      <c r="F69" s="24" t="n"/>
      <c r="G69" s="24" t="n"/>
      <c r="H69" s="24">
        <f>INDEX(Exigences!$H:$H,MATCH(B69,Exigences!$A:$A,0))</f>
        <v/>
      </c>
    </row>
    <row r="70" outlineLevel="1" ht="15" customHeight="1" s="20">
      <c r="A70" s="25" t="inlineStr">
        <is>
          <t>Dérivée</t>
        </is>
      </c>
      <c r="B70" s="26" t="inlineStr">
        <is>
          <t>D-A2-02</t>
        </is>
      </c>
      <c r="C70" s="25">
        <f>INDEX(Exigences!$D:$D,MATCH(B70,Exigences!$A:$A,0))</f>
        <v/>
      </c>
      <c r="D70" s="25">
        <f>INDEX(Exigences!$C:$C,MATCH(B70,Exigences!$A:$A,0))</f>
        <v/>
      </c>
      <c r="E70" s="25">
        <f>INDEX(Exigences!$F:$F,MATCH(B70,Exigences!$A:$A,0))</f>
        <v/>
      </c>
      <c r="F70" s="25">
        <f>INDEX(Exigences!$G:$G,MATCH(B70,Exigences!$A:$A,0))</f>
        <v/>
      </c>
      <c r="G70" s="25">
        <f>INDEX(Exigences!$E:$E,MATCH(B70,Exigences!$A:$A,0))</f>
        <v/>
      </c>
      <c r="H70" s="25" t="n"/>
    </row>
    <row r="71" outlineLevel="1" ht="15" customHeight="1" s="20">
      <c r="A71" s="25" t="inlineStr">
        <is>
          <t>Dérivée</t>
        </is>
      </c>
      <c r="B71" s="26" t="inlineStr">
        <is>
          <t>D-A3-05</t>
        </is>
      </c>
      <c r="C71" s="25">
        <f>INDEX(Exigences!$D:$D,MATCH(B71,Exigences!$A:$A,0))</f>
        <v/>
      </c>
      <c r="D71" s="25">
        <f>INDEX(Exigences!$C:$C,MATCH(B71,Exigences!$A:$A,0))</f>
        <v/>
      </c>
      <c r="E71" s="25">
        <f>INDEX(Exigences!$F:$F,MATCH(B71,Exigences!$A:$A,0))</f>
        <v/>
      </c>
      <c r="F71" s="25">
        <f>INDEX(Exigences!$G:$G,MATCH(B71,Exigences!$A:$A,0))</f>
        <v/>
      </c>
      <c r="G71" s="25">
        <f>INDEX(Exigences!$E:$E,MATCH(B71,Exigences!$A:$A,0))</f>
        <v/>
      </c>
      <c r="H71" s="25" t="n"/>
    </row>
    <row r="72" outlineLevel="1" ht="15" customHeight="1" s="20">
      <c r="A72" s="25" t="inlineStr">
        <is>
          <t>Dérivée</t>
        </is>
      </c>
      <c r="B72" s="26" t="inlineStr">
        <is>
          <t>D-A3-06</t>
        </is>
      </c>
      <c r="C72" s="25">
        <f>INDEX(Exigences!$D:$D,MATCH(B72,Exigences!$A:$A,0))</f>
        <v/>
      </c>
      <c r="D72" s="25">
        <f>INDEX(Exigences!$C:$C,MATCH(B72,Exigences!$A:$A,0))</f>
        <v/>
      </c>
      <c r="E72" s="25">
        <f>INDEX(Exigences!$F:$F,MATCH(B72,Exigences!$A:$A,0))</f>
        <v/>
      </c>
      <c r="F72" s="25">
        <f>INDEX(Exigences!$G:$G,MATCH(B72,Exigences!$A:$A,0))</f>
        <v/>
      </c>
      <c r="G72" s="25">
        <f>INDEX(Exigences!$E:$E,MATCH(B72,Exigences!$A:$A,0))</f>
        <v/>
      </c>
      <c r="H72" s="25" t="n"/>
    </row>
    <row r="73" outlineLevel="1" ht="15" customHeight="1" s="20">
      <c r="A73" s="25" t="inlineStr">
        <is>
          <t>Dérivée</t>
        </is>
      </c>
      <c r="B73" s="26" t="inlineStr">
        <is>
          <t>D-D-08</t>
        </is>
      </c>
      <c r="C73" s="25">
        <f>INDEX(Exigences!$D:$D,MATCH(B73,Exigences!$A:$A,0))</f>
        <v/>
      </c>
      <c r="D73" s="25">
        <f>INDEX(Exigences!$C:$C,MATCH(B73,Exigences!$A:$A,0))</f>
        <v/>
      </c>
      <c r="E73" s="25">
        <f>INDEX(Exigences!$F:$F,MATCH(B73,Exigences!$A:$A,0))</f>
        <v/>
      </c>
      <c r="F73" s="25">
        <f>INDEX(Exigences!$G:$G,MATCH(B73,Exigences!$A:$A,0))</f>
        <v/>
      </c>
      <c r="G73" s="25">
        <f>INDEX(Exigences!$E:$E,MATCH(B73,Exigences!$A:$A,0))</f>
        <v/>
      </c>
      <c r="H73" s="25" t="n"/>
    </row>
    <row r="74" outlineLevel="1" ht="15" customHeight="1" s="20">
      <c r="A74" s="25" t="inlineStr">
        <is>
          <t>Dérivée</t>
        </is>
      </c>
      <c r="B74" s="26" t="inlineStr">
        <is>
          <t>D-T-01</t>
        </is>
      </c>
      <c r="C74" s="25">
        <f>INDEX(Exigences!$D:$D,MATCH(B74,Exigences!$A:$A,0))</f>
        <v/>
      </c>
      <c r="D74" s="25">
        <f>INDEX(Exigences!$C:$C,MATCH(B74,Exigences!$A:$A,0))</f>
        <v/>
      </c>
      <c r="E74" s="25">
        <f>INDEX(Exigences!$F:$F,MATCH(B74,Exigences!$A:$A,0))</f>
        <v/>
      </c>
      <c r="F74" s="25">
        <f>INDEX(Exigences!$G:$G,MATCH(B74,Exigences!$A:$A,0))</f>
        <v/>
      </c>
      <c r="G74" s="25">
        <f>INDEX(Exigences!$E:$E,MATCH(B74,Exigences!$A:$A,0))</f>
        <v/>
      </c>
      <c r="H74" s="25" t="n"/>
    </row>
    <row r="75" outlineLevel="1" ht="15" customHeight="1" s="20">
      <c r="A75" s="25" t="inlineStr">
        <is>
          <t>Dérivée</t>
        </is>
      </c>
      <c r="B75" s="26" t="inlineStr">
        <is>
          <t>D-T-02</t>
        </is>
      </c>
      <c r="C75" s="25">
        <f>INDEX(Exigences!$D:$D,MATCH(B75,Exigences!$A:$A,0))</f>
        <v/>
      </c>
      <c r="D75" s="25">
        <f>INDEX(Exigences!$C:$C,MATCH(B75,Exigences!$A:$A,0))</f>
        <v/>
      </c>
      <c r="E75" s="25">
        <f>INDEX(Exigences!$F:$F,MATCH(B75,Exigences!$A:$A,0))</f>
        <v/>
      </c>
      <c r="F75" s="25">
        <f>INDEX(Exigences!$G:$G,MATCH(B75,Exigences!$A:$A,0))</f>
        <v/>
      </c>
      <c r="G75" s="25">
        <f>INDEX(Exigences!$E:$E,MATCH(B75,Exigences!$A:$A,0))</f>
        <v/>
      </c>
      <c r="H75" s="25" t="n"/>
    </row>
    <row r="76" outlineLevel="1" ht="15" customHeight="1" s="20">
      <c r="A76" s="25" t="inlineStr">
        <is>
          <t>Dérivée</t>
        </is>
      </c>
      <c r="B76" s="26" t="inlineStr">
        <is>
          <t>D-V2-07</t>
        </is>
      </c>
      <c r="C76" s="25">
        <f>INDEX(Exigences!$D:$D,MATCH(B76,Exigences!$A:$A,0))</f>
        <v/>
      </c>
      <c r="D76" s="25">
        <f>INDEX(Exigences!$C:$C,MATCH(B76,Exigences!$A:$A,0))</f>
        <v/>
      </c>
      <c r="E76" s="25">
        <f>INDEX(Exigences!$F:$F,MATCH(B76,Exigences!$A:$A,0))</f>
        <v/>
      </c>
      <c r="F76" s="25">
        <f>INDEX(Exigences!$G:$G,MATCH(B76,Exigences!$A:$A,0))</f>
        <v/>
      </c>
      <c r="G76" s="25">
        <f>INDEX(Exigences!$E:$E,MATCH(B76,Exigences!$A:$A,0))</f>
        <v/>
      </c>
      <c r="H76" s="25" t="n"/>
    </row>
    <row r="77" ht="15" customHeight="1" s="20">
      <c r="A77" s="27" t="inlineStr">
        <is>
          <t>Décision</t>
        </is>
      </c>
      <c r="B77" s="27" t="inlineStr">
        <is>
          <t>DC-1</t>
        </is>
      </c>
      <c r="C77" s="27">
        <f>INDEX(Exigences!$D:$D,MATCH(B77,Exigences!$A:$A,0))</f>
        <v/>
      </c>
      <c r="D77" s="27">
        <f>INDEX(Exigences!$C:$C,MATCH(B77,Exigences!$A:$A,0))</f>
        <v/>
      </c>
      <c r="E77" s="27" t="n"/>
      <c r="F77" s="27" t="n"/>
      <c r="G77" s="27" t="n"/>
      <c r="H77" s="27">
        <f>INDEX(Exigences!$H:$H,MATCH(B77,Exigences!$A:$A,0))</f>
        <v/>
      </c>
    </row>
    <row r="78" outlineLevel="1" ht="15" customHeight="1" s="20">
      <c r="A78" s="25" t="inlineStr">
        <is>
          <t>Dérivée</t>
        </is>
      </c>
      <c r="B78" s="26" t="inlineStr">
        <is>
          <t>D-A1-01</t>
        </is>
      </c>
      <c r="C78" s="25">
        <f>INDEX(Exigences!$D:$D,MATCH(B78,Exigences!$A:$A,0))</f>
        <v/>
      </c>
      <c r="D78" s="25">
        <f>INDEX(Exigences!$C:$C,MATCH(B78,Exigences!$A:$A,0))</f>
        <v/>
      </c>
      <c r="E78" s="25">
        <f>INDEX(Exigences!$F:$F,MATCH(B78,Exigences!$A:$A,0))</f>
        <v/>
      </c>
      <c r="F78" s="25">
        <f>INDEX(Exigences!$G:$G,MATCH(B78,Exigences!$A:$A,0))</f>
        <v/>
      </c>
      <c r="G78" s="25">
        <f>INDEX(Exigences!$E:$E,MATCH(B78,Exigences!$A:$A,0))</f>
        <v/>
      </c>
      <c r="H78" s="25" t="n"/>
    </row>
    <row r="79" outlineLevel="1" ht="15" customHeight="1" s="20">
      <c r="A79" s="25" t="inlineStr">
        <is>
          <t>Dérivée</t>
        </is>
      </c>
      <c r="B79" s="26" t="inlineStr">
        <is>
          <t>D-A3-07</t>
        </is>
      </c>
      <c r="C79" s="25">
        <f>INDEX(Exigences!$D:$D,MATCH(B79,Exigences!$A:$A,0))</f>
        <v/>
      </c>
      <c r="D79" s="25">
        <f>INDEX(Exigences!$C:$C,MATCH(B79,Exigences!$A:$A,0))</f>
        <v/>
      </c>
      <c r="E79" s="25">
        <f>INDEX(Exigences!$F:$F,MATCH(B79,Exigences!$A:$A,0))</f>
        <v/>
      </c>
      <c r="F79" s="25">
        <f>INDEX(Exigences!$G:$G,MATCH(B79,Exigences!$A:$A,0))</f>
        <v/>
      </c>
      <c r="G79" s="25">
        <f>INDEX(Exigences!$E:$E,MATCH(B79,Exigences!$A:$A,0))</f>
        <v/>
      </c>
      <c r="H79" s="25" t="n"/>
    </row>
    <row r="80" outlineLevel="1" ht="15" customHeight="1" s="20">
      <c r="A80" s="25" t="inlineStr">
        <is>
          <t>Dérivée</t>
        </is>
      </c>
      <c r="B80" s="26" t="inlineStr">
        <is>
          <t>D-A3-08</t>
        </is>
      </c>
      <c r="C80" s="25">
        <f>INDEX(Exigences!$D:$D,MATCH(B80,Exigences!$A:$A,0))</f>
        <v/>
      </c>
      <c r="D80" s="25">
        <f>INDEX(Exigences!$C:$C,MATCH(B80,Exigences!$A:$A,0))</f>
        <v/>
      </c>
      <c r="E80" s="25">
        <f>INDEX(Exigences!$F:$F,MATCH(B80,Exigences!$A:$A,0))</f>
        <v/>
      </c>
      <c r="F80" s="25">
        <f>INDEX(Exigences!$G:$G,MATCH(B80,Exigences!$A:$A,0))</f>
        <v/>
      </c>
      <c r="G80" s="25">
        <f>INDEX(Exigences!$E:$E,MATCH(B80,Exigences!$A:$A,0))</f>
        <v/>
      </c>
      <c r="H80" s="25" t="n"/>
    </row>
    <row r="81" outlineLevel="1" ht="15" customHeight="1" s="20">
      <c r="A81" s="25" t="inlineStr">
        <is>
          <t>Dérivée</t>
        </is>
      </c>
      <c r="B81" s="26" t="inlineStr">
        <is>
          <t>D-D-06</t>
        </is>
      </c>
      <c r="C81" s="25">
        <f>INDEX(Exigences!$D:$D,MATCH(B81,Exigences!$A:$A,0))</f>
        <v/>
      </c>
      <c r="D81" s="25">
        <f>INDEX(Exigences!$C:$C,MATCH(B81,Exigences!$A:$A,0))</f>
        <v/>
      </c>
      <c r="E81" s="25">
        <f>INDEX(Exigences!$F:$F,MATCH(B81,Exigences!$A:$A,0))</f>
        <v/>
      </c>
      <c r="F81" s="25">
        <f>INDEX(Exigences!$G:$G,MATCH(B81,Exigences!$A:$A,0))</f>
        <v/>
      </c>
      <c r="G81" s="25">
        <f>INDEX(Exigences!$E:$E,MATCH(B81,Exigences!$A:$A,0))</f>
        <v/>
      </c>
      <c r="H81" s="25" t="n"/>
    </row>
    <row r="82" outlineLevel="1" ht="15" customHeight="1" s="20">
      <c r="A82" s="25" t="inlineStr">
        <is>
          <t>Dérivée</t>
        </is>
      </c>
      <c r="B82" s="26" t="inlineStr">
        <is>
          <t>D-D-07</t>
        </is>
      </c>
      <c r="C82" s="25">
        <f>INDEX(Exigences!$D:$D,MATCH(B82,Exigences!$A:$A,0))</f>
        <v/>
      </c>
      <c r="D82" s="25">
        <f>INDEX(Exigences!$C:$C,MATCH(B82,Exigences!$A:$A,0))</f>
        <v/>
      </c>
      <c r="E82" s="25">
        <f>INDEX(Exigences!$F:$F,MATCH(B82,Exigences!$A:$A,0))</f>
        <v/>
      </c>
      <c r="F82" s="25">
        <f>INDEX(Exigences!$G:$G,MATCH(B82,Exigences!$A:$A,0))</f>
        <v/>
      </c>
      <c r="G82" s="25">
        <f>INDEX(Exigences!$E:$E,MATCH(B82,Exigences!$A:$A,0))</f>
        <v/>
      </c>
      <c r="H82" s="25" t="n"/>
    </row>
    <row r="83" outlineLevel="1" ht="15" customHeight="1" s="20">
      <c r="A83" s="25" t="inlineStr">
        <is>
          <t>Dérivée</t>
        </is>
      </c>
      <c r="B83" s="26" t="inlineStr">
        <is>
          <t>D-V2-01</t>
        </is>
      </c>
      <c r="C83" s="25">
        <f>INDEX(Exigences!$D:$D,MATCH(B83,Exigences!$A:$A,0))</f>
        <v/>
      </c>
      <c r="D83" s="25">
        <f>INDEX(Exigences!$C:$C,MATCH(B83,Exigences!$A:$A,0))</f>
        <v/>
      </c>
      <c r="E83" s="25">
        <f>INDEX(Exigences!$F:$F,MATCH(B83,Exigences!$A:$A,0))</f>
        <v/>
      </c>
      <c r="F83" s="25">
        <f>INDEX(Exigences!$G:$G,MATCH(B83,Exigences!$A:$A,0))</f>
        <v/>
      </c>
      <c r="G83" s="25">
        <f>INDEX(Exigences!$E:$E,MATCH(B83,Exigences!$A:$A,0))</f>
        <v/>
      </c>
      <c r="H83" s="25" t="n"/>
    </row>
    <row r="84" ht="15" customHeight="1" s="20">
      <c r="A84" s="27" t="inlineStr">
        <is>
          <t>Décision</t>
        </is>
      </c>
      <c r="B84" s="27" t="inlineStr">
        <is>
          <t>DC-2</t>
        </is>
      </c>
      <c r="C84" s="27">
        <f>INDEX(Exigences!$D:$D,MATCH(B84,Exigences!$A:$A,0))</f>
        <v/>
      </c>
      <c r="D84" s="27">
        <f>INDEX(Exigences!$C:$C,MATCH(B84,Exigences!$A:$A,0))</f>
        <v/>
      </c>
      <c r="E84" s="27" t="n"/>
      <c r="F84" s="27" t="n"/>
      <c r="G84" s="27" t="n"/>
      <c r="H84" s="27">
        <f>INDEX(Exigences!$H:$H,MATCH(B84,Exigences!$A:$A,0))</f>
        <v/>
      </c>
    </row>
    <row r="85" outlineLevel="1" ht="15" customHeight="1" s="20">
      <c r="A85" s="25" t="inlineStr">
        <is>
          <t>Dérivée</t>
        </is>
      </c>
      <c r="B85" s="26" t="inlineStr">
        <is>
          <t>D-A1-06</t>
        </is>
      </c>
      <c r="C85" s="25">
        <f>INDEX(Exigences!$D:$D,MATCH(B85,Exigences!$A:$A,0))</f>
        <v/>
      </c>
      <c r="D85" s="25">
        <f>INDEX(Exigences!$C:$C,MATCH(B85,Exigences!$A:$A,0))</f>
        <v/>
      </c>
      <c r="E85" s="25">
        <f>INDEX(Exigences!$F:$F,MATCH(B85,Exigences!$A:$A,0))</f>
        <v/>
      </c>
      <c r="F85" s="25">
        <f>INDEX(Exigences!$G:$G,MATCH(B85,Exigences!$A:$A,0))</f>
        <v/>
      </c>
      <c r="G85" s="25">
        <f>INDEX(Exigences!$E:$E,MATCH(B85,Exigences!$A:$A,0))</f>
        <v/>
      </c>
      <c r="H85" s="25" t="n"/>
    </row>
    <row r="86" outlineLevel="1" ht="15" customHeight="1" s="20">
      <c r="A86" s="25" t="inlineStr">
        <is>
          <t>Dérivée</t>
        </is>
      </c>
      <c r="B86" s="26" t="inlineStr">
        <is>
          <t>D-A2-07</t>
        </is>
      </c>
      <c r="C86" s="25">
        <f>INDEX(Exigences!$D:$D,MATCH(B86,Exigences!$A:$A,0))</f>
        <v/>
      </c>
      <c r="D86" s="25">
        <f>INDEX(Exigences!$C:$C,MATCH(B86,Exigences!$A:$A,0))</f>
        <v/>
      </c>
      <c r="E86" s="25">
        <f>INDEX(Exigences!$F:$F,MATCH(B86,Exigences!$A:$A,0))</f>
        <v/>
      </c>
      <c r="F86" s="25">
        <f>INDEX(Exigences!$G:$G,MATCH(B86,Exigences!$A:$A,0))</f>
        <v/>
      </c>
      <c r="G86" s="25">
        <f>INDEX(Exigences!$E:$E,MATCH(B86,Exigences!$A:$A,0))</f>
        <v/>
      </c>
      <c r="H86" s="25" t="n"/>
    </row>
    <row r="87" outlineLevel="1" ht="15" customHeight="1" s="20">
      <c r="A87" s="25" t="inlineStr">
        <is>
          <t>Dérivée</t>
        </is>
      </c>
      <c r="B87" s="26" t="inlineStr">
        <is>
          <t>D-C-01</t>
        </is>
      </c>
      <c r="C87" s="25">
        <f>INDEX(Exigences!$D:$D,MATCH(B87,Exigences!$A:$A,0))</f>
        <v/>
      </c>
      <c r="D87" s="25">
        <f>INDEX(Exigences!$C:$C,MATCH(B87,Exigences!$A:$A,0))</f>
        <v/>
      </c>
      <c r="E87" s="25">
        <f>INDEX(Exigences!$F:$F,MATCH(B87,Exigences!$A:$A,0))</f>
        <v/>
      </c>
      <c r="F87" s="25">
        <f>INDEX(Exigences!$G:$G,MATCH(B87,Exigences!$A:$A,0))</f>
        <v/>
      </c>
      <c r="G87" s="25">
        <f>INDEX(Exigences!$E:$E,MATCH(B87,Exigences!$A:$A,0))</f>
        <v/>
      </c>
      <c r="H87" s="25" t="n"/>
    </row>
    <row r="88" outlineLevel="1" ht="15" customHeight="1" s="20">
      <c r="A88" s="25" t="inlineStr">
        <is>
          <t>Dérivée</t>
        </is>
      </c>
      <c r="B88" s="26" t="inlineStr">
        <is>
          <t>D-C-02</t>
        </is>
      </c>
      <c r="C88" s="25">
        <f>INDEX(Exigences!$D:$D,MATCH(B88,Exigences!$A:$A,0))</f>
        <v/>
      </c>
      <c r="D88" s="25">
        <f>INDEX(Exigences!$C:$C,MATCH(B88,Exigences!$A:$A,0))</f>
        <v/>
      </c>
      <c r="E88" s="25">
        <f>INDEX(Exigences!$F:$F,MATCH(B88,Exigences!$A:$A,0))</f>
        <v/>
      </c>
      <c r="F88" s="25">
        <f>INDEX(Exigences!$G:$G,MATCH(B88,Exigences!$A:$A,0))</f>
        <v/>
      </c>
      <c r="G88" s="25">
        <f>INDEX(Exigences!$E:$E,MATCH(B88,Exigences!$A:$A,0))</f>
        <v/>
      </c>
      <c r="H88" s="25" t="n"/>
    </row>
    <row r="89" ht="15" customHeight="1" s="20">
      <c r="A89" s="27" t="inlineStr">
        <is>
          <t>Décision</t>
        </is>
      </c>
      <c r="B89" s="27" t="inlineStr">
        <is>
          <t>DC-3</t>
        </is>
      </c>
      <c r="C89" s="27">
        <f>INDEX(Exigences!$D:$D,MATCH(B89,Exigences!$A:$A,0))</f>
        <v/>
      </c>
      <c r="D89" s="27">
        <f>INDEX(Exigences!$C:$C,MATCH(B89,Exigences!$A:$A,0))</f>
        <v/>
      </c>
      <c r="E89" s="27" t="n"/>
      <c r="F89" s="27" t="n"/>
      <c r="G89" s="27" t="n"/>
      <c r="H89" s="27">
        <f>INDEX(Exigences!$H:$H,MATCH(B89,Exigences!$A:$A,0))</f>
        <v/>
      </c>
    </row>
    <row r="90" outlineLevel="1" ht="15" customHeight="1" s="20">
      <c r="A90" s="25" t="inlineStr">
        <is>
          <t>Dérivée</t>
        </is>
      </c>
      <c r="B90" s="26" t="inlineStr">
        <is>
          <t>D-A3-12</t>
        </is>
      </c>
      <c r="C90" s="25">
        <f>INDEX(Exigences!$D:$D,MATCH(B90,Exigences!$A:$A,0))</f>
        <v/>
      </c>
      <c r="D90" s="25">
        <f>INDEX(Exigences!$C:$C,MATCH(B90,Exigences!$A:$A,0))</f>
        <v/>
      </c>
      <c r="E90" s="25">
        <f>INDEX(Exigences!$F:$F,MATCH(B90,Exigences!$A:$A,0))</f>
        <v/>
      </c>
      <c r="F90" s="25">
        <f>INDEX(Exigences!$G:$G,MATCH(B90,Exigences!$A:$A,0))</f>
        <v/>
      </c>
      <c r="G90" s="25">
        <f>INDEX(Exigences!$E:$E,MATCH(B90,Exigences!$A:$A,0))</f>
        <v/>
      </c>
      <c r="H90" s="25" t="n"/>
    </row>
    <row r="91" ht="15" customHeight="1" s="20">
      <c r="A91" s="27" t="inlineStr">
        <is>
          <t>Décision</t>
        </is>
      </c>
      <c r="B91" s="27" t="inlineStr">
        <is>
          <t>DC-4</t>
        </is>
      </c>
      <c r="C91" s="27">
        <f>INDEX(Exigences!$D:$D,MATCH(B91,Exigences!$A:$A,0))</f>
        <v/>
      </c>
      <c r="D91" s="27">
        <f>INDEX(Exigences!$C:$C,MATCH(B91,Exigences!$A:$A,0))</f>
        <v/>
      </c>
      <c r="E91" s="27" t="n"/>
      <c r="F91" s="27" t="n"/>
      <c r="G91" s="27" t="n"/>
      <c r="H91" s="27">
        <f>INDEX(Exigences!$H:$H,MATCH(B91,Exigences!$A:$A,0))</f>
        <v/>
      </c>
    </row>
    <row r="92" outlineLevel="1" ht="15" customHeight="1" s="20">
      <c r="A92" s="25" t="inlineStr">
        <is>
          <t>Dérivée</t>
        </is>
      </c>
      <c r="B92" s="26" t="inlineStr">
        <is>
          <t>D-A2-04</t>
        </is>
      </c>
      <c r="C92" s="25">
        <f>INDEX(Exigences!$D:$D,MATCH(B92,Exigences!$A:$A,0))</f>
        <v/>
      </c>
      <c r="D92" s="25">
        <f>INDEX(Exigences!$C:$C,MATCH(B92,Exigences!$A:$A,0))</f>
        <v/>
      </c>
      <c r="E92" s="25">
        <f>INDEX(Exigences!$F:$F,MATCH(B92,Exigences!$A:$A,0))</f>
        <v/>
      </c>
      <c r="F92" s="25">
        <f>INDEX(Exigences!$G:$G,MATCH(B92,Exigences!$A:$A,0))</f>
        <v/>
      </c>
      <c r="G92" s="25">
        <f>INDEX(Exigences!$E:$E,MATCH(B92,Exigences!$A:$A,0))</f>
        <v/>
      </c>
      <c r="H92" s="25" t="n"/>
    </row>
    <row r="93" outlineLevel="1" ht="15" customHeight="1" s="20">
      <c r="A93" s="25" t="inlineStr">
        <is>
          <t>Dérivée</t>
        </is>
      </c>
      <c r="B93" s="26" t="inlineStr">
        <is>
          <t>D-A2-05</t>
        </is>
      </c>
      <c r="C93" s="25">
        <f>INDEX(Exigences!$D:$D,MATCH(B93,Exigences!$A:$A,0))</f>
        <v/>
      </c>
      <c r="D93" s="25">
        <f>INDEX(Exigences!$C:$C,MATCH(B93,Exigences!$A:$A,0))</f>
        <v/>
      </c>
      <c r="E93" s="25">
        <f>INDEX(Exigences!$F:$F,MATCH(B93,Exigences!$A:$A,0))</f>
        <v/>
      </c>
      <c r="F93" s="25">
        <f>INDEX(Exigences!$G:$G,MATCH(B93,Exigences!$A:$A,0))</f>
        <v/>
      </c>
      <c r="G93" s="25">
        <f>INDEX(Exigences!$E:$E,MATCH(B93,Exigences!$A:$A,0))</f>
        <v/>
      </c>
      <c r="H93" s="25" t="n"/>
    </row>
    <row r="94" outlineLevel="1" ht="15" customHeight="1" s="20">
      <c r="A94" s="25" t="inlineStr">
        <is>
          <t>Dérivée</t>
        </is>
      </c>
      <c r="B94" s="26" t="inlineStr">
        <is>
          <t>D-A2-06</t>
        </is>
      </c>
      <c r="C94" s="25">
        <f>INDEX(Exigences!$D:$D,MATCH(B94,Exigences!$A:$A,0))</f>
        <v/>
      </c>
      <c r="D94" s="25">
        <f>INDEX(Exigences!$C:$C,MATCH(B94,Exigences!$A:$A,0))</f>
        <v/>
      </c>
      <c r="E94" s="25">
        <f>INDEX(Exigences!$F:$F,MATCH(B94,Exigences!$A:$A,0))</f>
        <v/>
      </c>
      <c r="F94" s="25">
        <f>INDEX(Exigences!$G:$G,MATCH(B94,Exigences!$A:$A,0))</f>
        <v/>
      </c>
      <c r="G94" s="25">
        <f>INDEX(Exigences!$E:$E,MATCH(B94,Exigences!$A:$A,0))</f>
        <v/>
      </c>
      <c r="H94" s="25" t="n"/>
    </row>
    <row r="95" outlineLevel="1" ht="15" customHeight="1" s="20">
      <c r="A95" s="25" t="inlineStr">
        <is>
          <t>Dérivée</t>
        </is>
      </c>
      <c r="B95" s="26" t="inlineStr">
        <is>
          <t>D-A2-10</t>
        </is>
      </c>
      <c r="C95" s="25">
        <f>INDEX(Exigences!$D:$D,MATCH(B95,Exigences!$A:$A,0))</f>
        <v/>
      </c>
      <c r="D95" s="25">
        <f>INDEX(Exigences!$C:$C,MATCH(B95,Exigences!$A:$A,0))</f>
        <v/>
      </c>
      <c r="E95" s="25">
        <f>INDEX(Exigences!$F:$F,MATCH(B95,Exigences!$A:$A,0))</f>
        <v/>
      </c>
      <c r="F95" s="25">
        <f>INDEX(Exigences!$G:$G,MATCH(B95,Exigences!$A:$A,0))</f>
        <v/>
      </c>
      <c r="G95" s="25">
        <f>INDEX(Exigences!$E:$E,MATCH(B95,Exigences!$A:$A,0))</f>
        <v/>
      </c>
      <c r="H95" s="25" t="n"/>
    </row>
    <row r="96" outlineLevel="1" ht="15" customHeight="1" s="20">
      <c r="A96" s="25" t="inlineStr">
        <is>
          <t>Dérivée</t>
        </is>
      </c>
      <c r="B96" s="26" t="inlineStr">
        <is>
          <t>D-D-09</t>
        </is>
      </c>
      <c r="C96" s="25">
        <f>INDEX(Exigences!$D:$D,MATCH(B96,Exigences!$A:$A,0))</f>
        <v/>
      </c>
      <c r="D96" s="25">
        <f>INDEX(Exigences!$C:$C,MATCH(B96,Exigences!$A:$A,0))</f>
        <v/>
      </c>
      <c r="E96" s="25">
        <f>INDEX(Exigences!$F:$F,MATCH(B96,Exigences!$A:$A,0))</f>
        <v/>
      </c>
      <c r="F96" s="25">
        <f>INDEX(Exigences!$G:$G,MATCH(B96,Exigences!$A:$A,0))</f>
        <v/>
      </c>
      <c r="G96" s="25">
        <f>INDEX(Exigences!$E:$E,MATCH(B96,Exigences!$A:$A,0))</f>
        <v/>
      </c>
      <c r="H96" s="25" t="n"/>
    </row>
    <row r="97" ht="15" customHeight="1" s="20">
      <c r="A97" s="27" t="inlineStr">
        <is>
          <t>Décision</t>
        </is>
      </c>
      <c r="B97" s="27" t="inlineStr">
        <is>
          <t>DC-5</t>
        </is>
      </c>
      <c r="C97" s="27">
        <f>INDEX(Exigences!$D:$D,MATCH(B97,Exigences!$A:$A,0))</f>
        <v/>
      </c>
      <c r="D97" s="27">
        <f>INDEX(Exigences!$C:$C,MATCH(B97,Exigences!$A:$A,0))</f>
        <v/>
      </c>
      <c r="E97" s="27" t="n"/>
      <c r="F97" s="27" t="n"/>
      <c r="G97" s="27" t="n"/>
      <c r="H97" s="27">
        <f>INDEX(Exigences!$H:$H,MATCH(B97,Exigences!$A:$A,0))</f>
        <v/>
      </c>
    </row>
    <row r="98" outlineLevel="1" ht="15" customHeight="1" s="20">
      <c r="A98" s="25" t="inlineStr">
        <is>
          <t>Dérivée</t>
        </is>
      </c>
      <c r="B98" s="26" t="inlineStr">
        <is>
          <t>D-A2-08</t>
        </is>
      </c>
      <c r="C98" s="25">
        <f>INDEX(Exigences!$D:$D,MATCH(B98,Exigences!$A:$A,0))</f>
        <v/>
      </c>
      <c r="D98" s="25">
        <f>INDEX(Exigences!$C:$C,MATCH(B98,Exigences!$A:$A,0))</f>
        <v/>
      </c>
      <c r="E98" s="25">
        <f>INDEX(Exigences!$F:$F,MATCH(B98,Exigences!$A:$A,0))</f>
        <v/>
      </c>
      <c r="F98" s="25">
        <f>INDEX(Exigences!$G:$G,MATCH(B98,Exigences!$A:$A,0))</f>
        <v/>
      </c>
      <c r="G98" s="25">
        <f>INDEX(Exigences!$E:$E,MATCH(B98,Exigences!$A:$A,0))</f>
        <v/>
      </c>
      <c r="H98" s="25" t="n"/>
    </row>
    <row r="99" outlineLevel="1" ht="15" customHeight="1" s="20">
      <c r="A99" s="25" t="inlineStr">
        <is>
          <t>Dérivée</t>
        </is>
      </c>
      <c r="B99" s="26" t="inlineStr">
        <is>
          <t>D-A2-09</t>
        </is>
      </c>
      <c r="C99" s="25">
        <f>INDEX(Exigences!$D:$D,MATCH(B99,Exigences!$A:$A,0))</f>
        <v/>
      </c>
      <c r="D99" s="25">
        <f>INDEX(Exigences!$C:$C,MATCH(B99,Exigences!$A:$A,0))</f>
        <v/>
      </c>
      <c r="E99" s="25">
        <f>INDEX(Exigences!$F:$F,MATCH(B99,Exigences!$A:$A,0))</f>
        <v/>
      </c>
      <c r="F99" s="25">
        <f>INDEX(Exigences!$G:$G,MATCH(B99,Exigences!$A:$A,0))</f>
        <v/>
      </c>
      <c r="G99" s="25">
        <f>INDEX(Exigences!$E:$E,MATCH(B99,Exigences!$A:$A,0))</f>
        <v/>
      </c>
      <c r="H99" s="25" t="n"/>
    </row>
    <row r="100" outlineLevel="1" ht="15" customHeight="1" s="20">
      <c r="A100" s="25" t="inlineStr">
        <is>
          <t>Dérivée</t>
        </is>
      </c>
      <c r="B100" s="26" t="inlineStr">
        <is>
          <t>D-A2-10</t>
        </is>
      </c>
      <c r="C100" s="25">
        <f>INDEX(Exigences!$D:$D,MATCH(B100,Exigences!$A:$A,0))</f>
        <v/>
      </c>
      <c r="D100" s="25">
        <f>INDEX(Exigences!$C:$C,MATCH(B100,Exigences!$A:$A,0))</f>
        <v/>
      </c>
      <c r="E100" s="25">
        <f>INDEX(Exigences!$F:$F,MATCH(B100,Exigences!$A:$A,0))</f>
        <v/>
      </c>
      <c r="F100" s="25">
        <f>INDEX(Exigences!$G:$G,MATCH(B100,Exigences!$A:$A,0))</f>
        <v/>
      </c>
      <c r="G100" s="25">
        <f>INDEX(Exigences!$E:$E,MATCH(B100,Exigences!$A:$A,0))</f>
        <v/>
      </c>
      <c r="H100" s="25" t="n"/>
    </row>
    <row r="101" ht="15" customHeight="1" s="20">
      <c r="A101" s="27" t="inlineStr">
        <is>
          <t>Décision</t>
        </is>
      </c>
      <c r="B101" s="27" t="inlineStr">
        <is>
          <t>DC-6</t>
        </is>
      </c>
      <c r="C101" s="27">
        <f>INDEX(Exigences!$D:$D,MATCH(B101,Exigences!$A:$A,0))</f>
        <v/>
      </c>
      <c r="D101" s="27">
        <f>INDEX(Exigences!$C:$C,MATCH(B101,Exigences!$A:$A,0))</f>
        <v/>
      </c>
      <c r="E101" s="27" t="n"/>
      <c r="F101" s="27" t="n"/>
      <c r="G101" s="27" t="n"/>
      <c r="H101" s="27">
        <f>INDEX(Exigences!$H:$H,MATCH(B101,Exigences!$A:$A,0))</f>
        <v/>
      </c>
    </row>
    <row r="102" outlineLevel="1" ht="15" customHeight="1" s="20">
      <c r="A102" s="25" t="inlineStr">
        <is>
          <t>Dérivée</t>
        </is>
      </c>
      <c r="B102" s="26" t="inlineStr">
        <is>
          <t>D-B-03</t>
        </is>
      </c>
      <c r="C102" s="25">
        <f>INDEX(Exigences!$D:$D,MATCH(B102,Exigences!$A:$A,0))</f>
        <v/>
      </c>
      <c r="D102" s="25">
        <f>INDEX(Exigences!$C:$C,MATCH(B102,Exigences!$A:$A,0))</f>
        <v/>
      </c>
      <c r="E102" s="25">
        <f>INDEX(Exigences!$F:$F,MATCH(B102,Exigences!$A:$A,0))</f>
        <v/>
      </c>
      <c r="F102" s="25">
        <f>INDEX(Exigences!$G:$G,MATCH(B102,Exigences!$A:$A,0))</f>
        <v/>
      </c>
      <c r="G102" s="25">
        <f>INDEX(Exigences!$E:$E,MATCH(B102,Exigences!$A:$A,0))</f>
        <v/>
      </c>
      <c r="H102" s="25" t="n"/>
    </row>
    <row r="103" ht="15" customHeight="1" s="20">
      <c r="A103" s="27" t="inlineStr">
        <is>
          <t>Décision</t>
        </is>
      </c>
      <c r="B103" s="27" t="inlineStr">
        <is>
          <t>DC-7</t>
        </is>
      </c>
      <c r="C103" s="27">
        <f>INDEX(Exigences!$D:$D,MATCH(B103,Exigences!$A:$A,0))</f>
        <v/>
      </c>
      <c r="D103" s="27">
        <f>INDEX(Exigences!$C:$C,MATCH(B103,Exigences!$A:$A,0))</f>
        <v/>
      </c>
      <c r="E103" s="27" t="n"/>
      <c r="F103" s="27" t="n"/>
      <c r="G103" s="27" t="n"/>
      <c r="H103" s="27">
        <f>INDEX(Exigences!$H:$H,MATCH(B103,Exigences!$A:$A,0))</f>
        <v/>
      </c>
    </row>
    <row r="104" outlineLevel="1" ht="15" customHeight="1" s="20">
      <c r="A104" s="25" t="inlineStr">
        <is>
          <t>Dérivée</t>
        </is>
      </c>
      <c r="B104" s="26" t="inlineStr">
        <is>
          <t>D-D-03</t>
        </is>
      </c>
      <c r="C104" s="25">
        <f>INDEX(Exigences!$D:$D,MATCH(B104,Exigences!$A:$A,0))</f>
        <v/>
      </c>
      <c r="D104" s="25">
        <f>INDEX(Exigences!$C:$C,MATCH(B104,Exigences!$A:$A,0))</f>
        <v/>
      </c>
      <c r="E104" s="25">
        <f>INDEX(Exigences!$F:$F,MATCH(B104,Exigences!$A:$A,0))</f>
        <v/>
      </c>
      <c r="F104" s="25">
        <f>INDEX(Exigences!$G:$G,MATCH(B104,Exigences!$A:$A,0))</f>
        <v/>
      </c>
      <c r="G104" s="25">
        <f>INDEX(Exigences!$E:$E,MATCH(B104,Exigences!$A:$A,0))</f>
        <v/>
      </c>
      <c r="H104" s="25" t="n"/>
    </row>
    <row r="105" outlineLevel="1" ht="15" customHeight="1" s="20">
      <c r="A105" s="25" t="inlineStr">
        <is>
          <t>Dérivée</t>
        </is>
      </c>
      <c r="B105" s="26" t="inlineStr">
        <is>
          <t>D-D-04</t>
        </is>
      </c>
      <c r="C105" s="25">
        <f>INDEX(Exigences!$D:$D,MATCH(B105,Exigences!$A:$A,0))</f>
        <v/>
      </c>
      <c r="D105" s="25">
        <f>INDEX(Exigences!$C:$C,MATCH(B105,Exigences!$A:$A,0))</f>
        <v/>
      </c>
      <c r="E105" s="25">
        <f>INDEX(Exigences!$F:$F,MATCH(B105,Exigences!$A:$A,0))</f>
        <v/>
      </c>
      <c r="F105" s="25">
        <f>INDEX(Exigences!$G:$G,MATCH(B105,Exigences!$A:$A,0))</f>
        <v/>
      </c>
      <c r="G105" s="25">
        <f>INDEX(Exigences!$E:$E,MATCH(B105,Exigences!$A:$A,0))</f>
        <v/>
      </c>
      <c r="H105" s="25" t="n"/>
    </row>
    <row r="106" outlineLevel="1" ht="15" customHeight="1" s="20">
      <c r="A106" s="25" t="inlineStr">
        <is>
          <t>Dérivée</t>
        </is>
      </c>
      <c r="B106" s="26" t="inlineStr">
        <is>
          <t>D-D-05</t>
        </is>
      </c>
      <c r="C106" s="25">
        <f>INDEX(Exigences!$D:$D,MATCH(B106,Exigences!$A:$A,0))</f>
        <v/>
      </c>
      <c r="D106" s="25">
        <f>INDEX(Exigences!$C:$C,MATCH(B106,Exigences!$A:$A,0))</f>
        <v/>
      </c>
      <c r="E106" s="25">
        <f>INDEX(Exigences!$F:$F,MATCH(B106,Exigences!$A:$A,0))</f>
        <v/>
      </c>
      <c r="F106" s="25">
        <f>INDEX(Exigences!$G:$G,MATCH(B106,Exigences!$A:$A,0))</f>
        <v/>
      </c>
      <c r="G106" s="25">
        <f>INDEX(Exigences!$E:$E,MATCH(B106,Exigences!$A:$A,0))</f>
        <v/>
      </c>
      <c r="H106" s="25" t="n"/>
    </row>
    <row r="107" ht="15" customHeight="1" s="20">
      <c r="A107" s="27" t="inlineStr">
        <is>
          <t>Décision</t>
        </is>
      </c>
      <c r="B107" s="27" t="inlineStr">
        <is>
          <t>DC-8</t>
        </is>
      </c>
      <c r="C107" s="27">
        <f>INDEX(Exigences!$D:$D,MATCH(B107,Exigences!$A:$A,0))</f>
        <v/>
      </c>
      <c r="D107" s="27">
        <f>INDEX(Exigences!$C:$C,MATCH(B107,Exigences!$A:$A,0))</f>
        <v/>
      </c>
      <c r="E107" s="27" t="n"/>
      <c r="F107" s="27" t="n"/>
      <c r="G107" s="27" t="n"/>
      <c r="H107" s="27">
        <f>INDEX(Exigences!$H:$H,MATCH(B107,Exigences!$A:$A,0))</f>
        <v/>
      </c>
    </row>
    <row r="108" outlineLevel="1" ht="15" customHeight="1" s="20">
      <c r="A108" s="25" t="inlineStr">
        <is>
          <t>Dérivée</t>
        </is>
      </c>
      <c r="B108" s="26" t="inlineStr">
        <is>
          <t>D-T-03</t>
        </is>
      </c>
      <c r="C108" s="25">
        <f>INDEX(Exigences!$D:$D,MATCH(B108,Exigences!$A:$A,0))</f>
        <v/>
      </c>
      <c r="D108" s="25">
        <f>INDEX(Exigences!$C:$C,MATCH(B108,Exigences!$A:$A,0))</f>
        <v/>
      </c>
      <c r="E108" s="25">
        <f>INDEX(Exigences!$F:$F,MATCH(B108,Exigences!$A:$A,0))</f>
        <v/>
      </c>
      <c r="F108" s="25">
        <f>INDEX(Exigences!$G:$G,MATCH(B108,Exigences!$A:$A,0))</f>
        <v/>
      </c>
      <c r="G108" s="25">
        <f>INDEX(Exigences!$E:$E,MATCH(B108,Exigences!$A:$A,0))</f>
        <v/>
      </c>
      <c r="H108" s="25" t="n"/>
    </row>
    <row r="109" outlineLevel="1" ht="15" customHeight="1" s="20">
      <c r="A109" s="25" t="inlineStr">
        <is>
          <t>Dérivée</t>
        </is>
      </c>
      <c r="B109" s="26" t="inlineStr">
        <is>
          <t>D-T-05</t>
        </is>
      </c>
      <c r="C109" s="25">
        <f>INDEX(Exigences!$D:$D,MATCH(B109,Exigences!$A:$A,0))</f>
        <v/>
      </c>
      <c r="D109" s="25">
        <f>INDEX(Exigences!$C:$C,MATCH(B109,Exigences!$A:$A,0))</f>
        <v/>
      </c>
      <c r="E109" s="25">
        <f>INDEX(Exigences!$F:$F,MATCH(B109,Exigences!$A:$A,0))</f>
        <v/>
      </c>
      <c r="F109" s="25">
        <f>INDEX(Exigences!$G:$G,MATCH(B109,Exigences!$A:$A,0))</f>
        <v/>
      </c>
      <c r="G109" s="25">
        <f>INDEX(Exigences!$E:$E,MATCH(B109,Exigences!$A:$A,0))</f>
        <v/>
      </c>
      <c r="H109" s="25" t="n"/>
    </row>
  </sheetData>
  <mergeCells count="1">
    <mergeCell ref="A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Y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17" customWidth="1" style="19" min="2" max="2"/>
    <col width="52" customWidth="1" style="19" min="3" max="3"/>
    <col width="7.5" customWidth="1" style="19" min="4" max="25"/>
  </cols>
  <sheetData>
    <row r="1" ht="15" customHeight="1" s="20">
      <c r="A1" s="21" t="inlineStr">
        <is>
          <t>Matrice de traçabilité : ● = l'exigence dérivée (ligne) découle de l'exigence d'origine ou de la décision (colonne)</t>
        </is>
      </c>
    </row>
    <row r="2"/>
    <row r="3" ht="48" customHeight="1" s="20">
      <c r="A3" s="23" t="inlineStr">
        <is>
          <t>ID dérivée</t>
        </is>
      </c>
      <c r="B3" s="23" t="inlineStr">
        <is>
          <t>Bloc</t>
        </is>
      </c>
      <c r="C3" s="23" t="inlineStr">
        <is>
          <t>Exigence</t>
        </is>
      </c>
      <c r="D3" s="28" t="inlineStr">
        <is>
          <t>EX-A1</t>
        </is>
      </c>
      <c r="E3" s="28" t="inlineStr">
        <is>
          <t>EX-A2</t>
        </is>
      </c>
      <c r="F3" s="28" t="inlineStr">
        <is>
          <t>EX-A3</t>
        </is>
      </c>
      <c r="G3" s="28" t="inlineStr">
        <is>
          <t>EX-B1</t>
        </is>
      </c>
      <c r="H3" s="28" t="inlineStr">
        <is>
          <t>EX-C1</t>
        </is>
      </c>
      <c r="I3" s="28" t="inlineStr">
        <is>
          <t>EX-C2</t>
        </is>
      </c>
      <c r="J3" s="28" t="inlineStr">
        <is>
          <t>EX-C3</t>
        </is>
      </c>
      <c r="K3" s="28" t="inlineStr">
        <is>
          <t>EX-D1</t>
        </is>
      </c>
      <c r="L3" s="28" t="inlineStr">
        <is>
          <t>EX-D2</t>
        </is>
      </c>
      <c r="M3" s="28" t="inlineStr">
        <is>
          <t>EX-E1</t>
        </is>
      </c>
      <c r="N3" s="28" t="inlineStr">
        <is>
          <t>EX-E2</t>
        </is>
      </c>
      <c r="O3" s="28" t="inlineStr">
        <is>
          <t>EX-E3</t>
        </is>
      </c>
      <c r="P3" s="28" t="inlineStr">
        <is>
          <t>EX-E4</t>
        </is>
      </c>
      <c r="Q3" s="28" t="inlineStr">
        <is>
          <t>DC-1</t>
        </is>
      </c>
      <c r="R3" s="28" t="inlineStr">
        <is>
          <t>DC-2</t>
        </is>
      </c>
      <c r="S3" s="28" t="inlineStr">
        <is>
          <t>DC-3</t>
        </is>
      </c>
      <c r="T3" s="28" t="inlineStr">
        <is>
          <t>DC-4</t>
        </is>
      </c>
      <c r="U3" s="28" t="inlineStr">
        <is>
          <t>DC-5</t>
        </is>
      </c>
      <c r="V3" s="28" t="inlineStr">
        <is>
          <t>DC-6</t>
        </is>
      </c>
      <c r="W3" s="28" t="inlineStr">
        <is>
          <t>DC-7</t>
        </is>
      </c>
      <c r="X3" s="28" t="inlineStr">
        <is>
          <t>DC-8</t>
        </is>
      </c>
      <c r="Y3" s="23" t="inlineStr">
        <is>
          <t>Nb origines</t>
        </is>
      </c>
    </row>
    <row r="4" ht="15" customHeight="1" s="20">
      <c r="A4" s="29" t="inlineStr">
        <is>
          <t>D-A1-01</t>
        </is>
      </c>
      <c r="B4" s="29">
        <f>INDEX(Exigences!$C:$C,MATCH(A4,Exigences!$A:$A,0))</f>
        <v/>
      </c>
      <c r="C4" s="25">
        <f>INDEX(Exigences!$D:$D,MATCH(A4,Exigences!$A:$A,0))</f>
        <v/>
      </c>
      <c r="D4" s="30">
        <f>IF(ISNUMBER(SEARCH(D$3,INDEX(Exigences!$E:$E,MATCH($A4,Exigences!$A:$A,0)))),"●","")</f>
        <v/>
      </c>
      <c r="E4" s="30">
        <f>IF(ISNUMBER(SEARCH(E$3,INDEX(Exigences!$E:$E,MATCH($A4,Exigences!$A:$A,0)))),"●","")</f>
        <v/>
      </c>
      <c r="F4" s="30">
        <f>IF(ISNUMBER(SEARCH(F$3,INDEX(Exigences!$E:$E,MATCH($A4,Exigences!$A:$A,0)))),"●","")</f>
        <v/>
      </c>
      <c r="G4" s="30">
        <f>IF(ISNUMBER(SEARCH(G$3,INDEX(Exigences!$E:$E,MATCH($A4,Exigences!$A:$A,0)))),"●","")</f>
        <v/>
      </c>
      <c r="H4" s="30">
        <f>IF(ISNUMBER(SEARCH(H$3,INDEX(Exigences!$E:$E,MATCH($A4,Exigences!$A:$A,0)))),"●","")</f>
        <v/>
      </c>
      <c r="I4" s="30">
        <f>IF(ISNUMBER(SEARCH(I$3,INDEX(Exigences!$E:$E,MATCH($A4,Exigences!$A:$A,0)))),"●","")</f>
        <v/>
      </c>
      <c r="J4" s="30">
        <f>IF(ISNUMBER(SEARCH(J$3,INDEX(Exigences!$E:$E,MATCH($A4,Exigences!$A:$A,0)))),"●","")</f>
        <v/>
      </c>
      <c r="K4" s="30">
        <f>IF(ISNUMBER(SEARCH(K$3,INDEX(Exigences!$E:$E,MATCH($A4,Exigences!$A:$A,0)))),"●","")</f>
        <v/>
      </c>
      <c r="L4" s="30">
        <f>IF(ISNUMBER(SEARCH(L$3,INDEX(Exigences!$E:$E,MATCH($A4,Exigences!$A:$A,0)))),"●","")</f>
        <v/>
      </c>
      <c r="M4" s="30">
        <f>IF(ISNUMBER(SEARCH(M$3,INDEX(Exigences!$E:$E,MATCH($A4,Exigences!$A:$A,0)))),"●","")</f>
        <v/>
      </c>
      <c r="N4" s="30">
        <f>IF(ISNUMBER(SEARCH(N$3,INDEX(Exigences!$E:$E,MATCH($A4,Exigences!$A:$A,0)))),"●","")</f>
        <v/>
      </c>
      <c r="O4" s="30">
        <f>IF(ISNUMBER(SEARCH(O$3,INDEX(Exigences!$E:$E,MATCH($A4,Exigences!$A:$A,0)))),"●","")</f>
        <v/>
      </c>
      <c r="P4" s="30">
        <f>IF(ISNUMBER(SEARCH(P$3,INDEX(Exigences!$E:$E,MATCH($A4,Exigences!$A:$A,0)))),"●","")</f>
        <v/>
      </c>
      <c r="Q4" s="30">
        <f>IF(ISNUMBER(SEARCH(Q$3,INDEX(Exigences!$E:$E,MATCH($A4,Exigences!$A:$A,0)))),"●","")</f>
        <v/>
      </c>
      <c r="R4" s="30">
        <f>IF(ISNUMBER(SEARCH(R$3,INDEX(Exigences!$E:$E,MATCH($A4,Exigences!$A:$A,0)))),"●","")</f>
        <v/>
      </c>
      <c r="S4" s="30">
        <f>IF(ISNUMBER(SEARCH(S$3,INDEX(Exigences!$E:$E,MATCH($A4,Exigences!$A:$A,0)))),"●","")</f>
        <v/>
      </c>
      <c r="T4" s="30">
        <f>IF(ISNUMBER(SEARCH(T$3,INDEX(Exigences!$E:$E,MATCH($A4,Exigences!$A:$A,0)))),"●","")</f>
        <v/>
      </c>
      <c r="U4" s="30">
        <f>IF(ISNUMBER(SEARCH(U$3,INDEX(Exigences!$E:$E,MATCH($A4,Exigences!$A:$A,0)))),"●","")</f>
        <v/>
      </c>
      <c r="V4" s="30">
        <f>IF(ISNUMBER(SEARCH(V$3,INDEX(Exigences!$E:$E,MATCH($A4,Exigences!$A:$A,0)))),"●","")</f>
        <v/>
      </c>
      <c r="W4" s="30">
        <f>IF(ISNUMBER(SEARCH(W$3,INDEX(Exigences!$E:$E,MATCH($A4,Exigences!$A:$A,0)))),"●","")</f>
        <v/>
      </c>
      <c r="X4" s="30">
        <f>IF(ISNUMBER(SEARCH(X$3,INDEX(Exigences!$E:$E,MATCH($A4,Exigences!$A:$A,0)))),"●","")</f>
        <v/>
      </c>
      <c r="Y4" s="30">
        <f>COUNTIF(D4:X4,"●")</f>
        <v/>
      </c>
    </row>
    <row r="5" ht="15" customHeight="1" s="20">
      <c r="A5" s="29" t="inlineStr">
        <is>
          <t>D-A1-02</t>
        </is>
      </c>
      <c r="B5" s="29">
        <f>INDEX(Exigences!$C:$C,MATCH(A5,Exigences!$A:$A,0))</f>
        <v/>
      </c>
      <c r="C5" s="25">
        <f>INDEX(Exigences!$D:$D,MATCH(A5,Exigences!$A:$A,0))</f>
        <v/>
      </c>
      <c r="D5" s="30">
        <f>IF(ISNUMBER(SEARCH(D$3,INDEX(Exigences!$E:$E,MATCH($A5,Exigences!$A:$A,0)))),"●","")</f>
        <v/>
      </c>
      <c r="E5" s="30">
        <f>IF(ISNUMBER(SEARCH(E$3,INDEX(Exigences!$E:$E,MATCH($A5,Exigences!$A:$A,0)))),"●","")</f>
        <v/>
      </c>
      <c r="F5" s="30">
        <f>IF(ISNUMBER(SEARCH(F$3,INDEX(Exigences!$E:$E,MATCH($A5,Exigences!$A:$A,0)))),"●","")</f>
        <v/>
      </c>
      <c r="G5" s="30">
        <f>IF(ISNUMBER(SEARCH(G$3,INDEX(Exigences!$E:$E,MATCH($A5,Exigences!$A:$A,0)))),"●","")</f>
        <v/>
      </c>
      <c r="H5" s="30">
        <f>IF(ISNUMBER(SEARCH(H$3,INDEX(Exigences!$E:$E,MATCH($A5,Exigences!$A:$A,0)))),"●","")</f>
        <v/>
      </c>
      <c r="I5" s="30">
        <f>IF(ISNUMBER(SEARCH(I$3,INDEX(Exigences!$E:$E,MATCH($A5,Exigences!$A:$A,0)))),"●","")</f>
        <v/>
      </c>
      <c r="J5" s="30">
        <f>IF(ISNUMBER(SEARCH(J$3,INDEX(Exigences!$E:$E,MATCH($A5,Exigences!$A:$A,0)))),"●","")</f>
        <v/>
      </c>
      <c r="K5" s="30">
        <f>IF(ISNUMBER(SEARCH(K$3,INDEX(Exigences!$E:$E,MATCH($A5,Exigences!$A:$A,0)))),"●","")</f>
        <v/>
      </c>
      <c r="L5" s="30">
        <f>IF(ISNUMBER(SEARCH(L$3,INDEX(Exigences!$E:$E,MATCH($A5,Exigences!$A:$A,0)))),"●","")</f>
        <v/>
      </c>
      <c r="M5" s="30">
        <f>IF(ISNUMBER(SEARCH(M$3,INDEX(Exigences!$E:$E,MATCH($A5,Exigences!$A:$A,0)))),"●","")</f>
        <v/>
      </c>
      <c r="N5" s="30">
        <f>IF(ISNUMBER(SEARCH(N$3,INDEX(Exigences!$E:$E,MATCH($A5,Exigences!$A:$A,0)))),"●","")</f>
        <v/>
      </c>
      <c r="O5" s="30">
        <f>IF(ISNUMBER(SEARCH(O$3,INDEX(Exigences!$E:$E,MATCH($A5,Exigences!$A:$A,0)))),"●","")</f>
        <v/>
      </c>
      <c r="P5" s="30">
        <f>IF(ISNUMBER(SEARCH(P$3,INDEX(Exigences!$E:$E,MATCH($A5,Exigences!$A:$A,0)))),"●","")</f>
        <v/>
      </c>
      <c r="Q5" s="30">
        <f>IF(ISNUMBER(SEARCH(Q$3,INDEX(Exigences!$E:$E,MATCH($A5,Exigences!$A:$A,0)))),"●","")</f>
        <v/>
      </c>
      <c r="R5" s="30">
        <f>IF(ISNUMBER(SEARCH(R$3,INDEX(Exigences!$E:$E,MATCH($A5,Exigences!$A:$A,0)))),"●","")</f>
        <v/>
      </c>
      <c r="S5" s="30">
        <f>IF(ISNUMBER(SEARCH(S$3,INDEX(Exigences!$E:$E,MATCH($A5,Exigences!$A:$A,0)))),"●","")</f>
        <v/>
      </c>
      <c r="T5" s="30">
        <f>IF(ISNUMBER(SEARCH(T$3,INDEX(Exigences!$E:$E,MATCH($A5,Exigences!$A:$A,0)))),"●","")</f>
        <v/>
      </c>
      <c r="U5" s="30">
        <f>IF(ISNUMBER(SEARCH(U$3,INDEX(Exigences!$E:$E,MATCH($A5,Exigences!$A:$A,0)))),"●","")</f>
        <v/>
      </c>
      <c r="V5" s="30">
        <f>IF(ISNUMBER(SEARCH(V$3,INDEX(Exigences!$E:$E,MATCH($A5,Exigences!$A:$A,0)))),"●","")</f>
        <v/>
      </c>
      <c r="W5" s="30">
        <f>IF(ISNUMBER(SEARCH(W$3,INDEX(Exigences!$E:$E,MATCH($A5,Exigences!$A:$A,0)))),"●","")</f>
        <v/>
      </c>
      <c r="X5" s="30">
        <f>IF(ISNUMBER(SEARCH(X$3,INDEX(Exigences!$E:$E,MATCH($A5,Exigences!$A:$A,0)))),"●","")</f>
        <v/>
      </c>
      <c r="Y5" s="30">
        <f>COUNTIF(D5:X5,"●")</f>
        <v/>
      </c>
    </row>
    <row r="6" ht="15" customHeight="1" s="20">
      <c r="A6" s="29" t="inlineStr">
        <is>
          <t>D-A1-03</t>
        </is>
      </c>
      <c r="B6" s="29">
        <f>INDEX(Exigences!$C:$C,MATCH(A6,Exigences!$A:$A,0))</f>
        <v/>
      </c>
      <c r="C6" s="25">
        <f>INDEX(Exigences!$D:$D,MATCH(A6,Exigences!$A:$A,0))</f>
        <v/>
      </c>
      <c r="D6" s="30">
        <f>IF(ISNUMBER(SEARCH(D$3,INDEX(Exigences!$E:$E,MATCH($A6,Exigences!$A:$A,0)))),"●","")</f>
        <v/>
      </c>
      <c r="E6" s="30">
        <f>IF(ISNUMBER(SEARCH(E$3,INDEX(Exigences!$E:$E,MATCH($A6,Exigences!$A:$A,0)))),"●","")</f>
        <v/>
      </c>
      <c r="F6" s="30">
        <f>IF(ISNUMBER(SEARCH(F$3,INDEX(Exigences!$E:$E,MATCH($A6,Exigences!$A:$A,0)))),"●","")</f>
        <v/>
      </c>
      <c r="G6" s="30">
        <f>IF(ISNUMBER(SEARCH(G$3,INDEX(Exigences!$E:$E,MATCH($A6,Exigences!$A:$A,0)))),"●","")</f>
        <v/>
      </c>
      <c r="H6" s="30">
        <f>IF(ISNUMBER(SEARCH(H$3,INDEX(Exigences!$E:$E,MATCH($A6,Exigences!$A:$A,0)))),"●","")</f>
        <v/>
      </c>
      <c r="I6" s="30">
        <f>IF(ISNUMBER(SEARCH(I$3,INDEX(Exigences!$E:$E,MATCH($A6,Exigences!$A:$A,0)))),"●","")</f>
        <v/>
      </c>
      <c r="J6" s="30">
        <f>IF(ISNUMBER(SEARCH(J$3,INDEX(Exigences!$E:$E,MATCH($A6,Exigences!$A:$A,0)))),"●","")</f>
        <v/>
      </c>
      <c r="K6" s="30">
        <f>IF(ISNUMBER(SEARCH(K$3,INDEX(Exigences!$E:$E,MATCH($A6,Exigences!$A:$A,0)))),"●","")</f>
        <v/>
      </c>
      <c r="L6" s="30">
        <f>IF(ISNUMBER(SEARCH(L$3,INDEX(Exigences!$E:$E,MATCH($A6,Exigences!$A:$A,0)))),"●","")</f>
        <v/>
      </c>
      <c r="M6" s="30">
        <f>IF(ISNUMBER(SEARCH(M$3,INDEX(Exigences!$E:$E,MATCH($A6,Exigences!$A:$A,0)))),"●","")</f>
        <v/>
      </c>
      <c r="N6" s="30">
        <f>IF(ISNUMBER(SEARCH(N$3,INDEX(Exigences!$E:$E,MATCH($A6,Exigences!$A:$A,0)))),"●","")</f>
        <v/>
      </c>
      <c r="O6" s="30">
        <f>IF(ISNUMBER(SEARCH(O$3,INDEX(Exigences!$E:$E,MATCH($A6,Exigences!$A:$A,0)))),"●","")</f>
        <v/>
      </c>
      <c r="P6" s="30">
        <f>IF(ISNUMBER(SEARCH(P$3,INDEX(Exigences!$E:$E,MATCH($A6,Exigences!$A:$A,0)))),"●","")</f>
        <v/>
      </c>
      <c r="Q6" s="30">
        <f>IF(ISNUMBER(SEARCH(Q$3,INDEX(Exigences!$E:$E,MATCH($A6,Exigences!$A:$A,0)))),"●","")</f>
        <v/>
      </c>
      <c r="R6" s="30">
        <f>IF(ISNUMBER(SEARCH(R$3,INDEX(Exigences!$E:$E,MATCH($A6,Exigences!$A:$A,0)))),"●","")</f>
        <v/>
      </c>
      <c r="S6" s="30">
        <f>IF(ISNUMBER(SEARCH(S$3,INDEX(Exigences!$E:$E,MATCH($A6,Exigences!$A:$A,0)))),"●","")</f>
        <v/>
      </c>
      <c r="T6" s="30">
        <f>IF(ISNUMBER(SEARCH(T$3,INDEX(Exigences!$E:$E,MATCH($A6,Exigences!$A:$A,0)))),"●","")</f>
        <v/>
      </c>
      <c r="U6" s="30">
        <f>IF(ISNUMBER(SEARCH(U$3,INDEX(Exigences!$E:$E,MATCH($A6,Exigences!$A:$A,0)))),"●","")</f>
        <v/>
      </c>
      <c r="V6" s="30">
        <f>IF(ISNUMBER(SEARCH(V$3,INDEX(Exigences!$E:$E,MATCH($A6,Exigences!$A:$A,0)))),"●","")</f>
        <v/>
      </c>
      <c r="W6" s="30">
        <f>IF(ISNUMBER(SEARCH(W$3,INDEX(Exigences!$E:$E,MATCH($A6,Exigences!$A:$A,0)))),"●","")</f>
        <v/>
      </c>
      <c r="X6" s="30">
        <f>IF(ISNUMBER(SEARCH(X$3,INDEX(Exigences!$E:$E,MATCH($A6,Exigences!$A:$A,0)))),"●","")</f>
        <v/>
      </c>
      <c r="Y6" s="30">
        <f>COUNTIF(D6:X6,"●")</f>
        <v/>
      </c>
    </row>
    <row r="7" ht="15" customHeight="1" s="20">
      <c r="A7" s="29" t="inlineStr">
        <is>
          <t>D-A1-04</t>
        </is>
      </c>
      <c r="B7" s="29">
        <f>INDEX(Exigences!$C:$C,MATCH(A7,Exigences!$A:$A,0))</f>
        <v/>
      </c>
      <c r="C7" s="25">
        <f>INDEX(Exigences!$D:$D,MATCH(A7,Exigences!$A:$A,0))</f>
        <v/>
      </c>
      <c r="D7" s="30">
        <f>IF(ISNUMBER(SEARCH(D$3,INDEX(Exigences!$E:$E,MATCH($A7,Exigences!$A:$A,0)))),"●","")</f>
        <v/>
      </c>
      <c r="E7" s="30">
        <f>IF(ISNUMBER(SEARCH(E$3,INDEX(Exigences!$E:$E,MATCH($A7,Exigences!$A:$A,0)))),"●","")</f>
        <v/>
      </c>
      <c r="F7" s="30">
        <f>IF(ISNUMBER(SEARCH(F$3,INDEX(Exigences!$E:$E,MATCH($A7,Exigences!$A:$A,0)))),"●","")</f>
        <v/>
      </c>
      <c r="G7" s="30">
        <f>IF(ISNUMBER(SEARCH(G$3,INDEX(Exigences!$E:$E,MATCH($A7,Exigences!$A:$A,0)))),"●","")</f>
        <v/>
      </c>
      <c r="H7" s="30">
        <f>IF(ISNUMBER(SEARCH(H$3,INDEX(Exigences!$E:$E,MATCH($A7,Exigences!$A:$A,0)))),"●","")</f>
        <v/>
      </c>
      <c r="I7" s="30">
        <f>IF(ISNUMBER(SEARCH(I$3,INDEX(Exigences!$E:$E,MATCH($A7,Exigences!$A:$A,0)))),"●","")</f>
        <v/>
      </c>
      <c r="J7" s="30">
        <f>IF(ISNUMBER(SEARCH(J$3,INDEX(Exigences!$E:$E,MATCH($A7,Exigences!$A:$A,0)))),"●","")</f>
        <v/>
      </c>
      <c r="K7" s="30">
        <f>IF(ISNUMBER(SEARCH(K$3,INDEX(Exigences!$E:$E,MATCH($A7,Exigences!$A:$A,0)))),"●","")</f>
        <v/>
      </c>
      <c r="L7" s="30">
        <f>IF(ISNUMBER(SEARCH(L$3,INDEX(Exigences!$E:$E,MATCH($A7,Exigences!$A:$A,0)))),"●","")</f>
        <v/>
      </c>
      <c r="M7" s="30">
        <f>IF(ISNUMBER(SEARCH(M$3,INDEX(Exigences!$E:$E,MATCH($A7,Exigences!$A:$A,0)))),"●","")</f>
        <v/>
      </c>
      <c r="N7" s="30">
        <f>IF(ISNUMBER(SEARCH(N$3,INDEX(Exigences!$E:$E,MATCH($A7,Exigences!$A:$A,0)))),"●","")</f>
        <v/>
      </c>
      <c r="O7" s="30">
        <f>IF(ISNUMBER(SEARCH(O$3,INDEX(Exigences!$E:$E,MATCH($A7,Exigences!$A:$A,0)))),"●","")</f>
        <v/>
      </c>
      <c r="P7" s="30">
        <f>IF(ISNUMBER(SEARCH(P$3,INDEX(Exigences!$E:$E,MATCH($A7,Exigences!$A:$A,0)))),"●","")</f>
        <v/>
      </c>
      <c r="Q7" s="30">
        <f>IF(ISNUMBER(SEARCH(Q$3,INDEX(Exigences!$E:$E,MATCH($A7,Exigences!$A:$A,0)))),"●","")</f>
        <v/>
      </c>
      <c r="R7" s="30">
        <f>IF(ISNUMBER(SEARCH(R$3,INDEX(Exigences!$E:$E,MATCH($A7,Exigences!$A:$A,0)))),"●","")</f>
        <v/>
      </c>
      <c r="S7" s="30">
        <f>IF(ISNUMBER(SEARCH(S$3,INDEX(Exigences!$E:$E,MATCH($A7,Exigences!$A:$A,0)))),"●","")</f>
        <v/>
      </c>
      <c r="T7" s="30">
        <f>IF(ISNUMBER(SEARCH(T$3,INDEX(Exigences!$E:$E,MATCH($A7,Exigences!$A:$A,0)))),"●","")</f>
        <v/>
      </c>
      <c r="U7" s="30">
        <f>IF(ISNUMBER(SEARCH(U$3,INDEX(Exigences!$E:$E,MATCH($A7,Exigences!$A:$A,0)))),"●","")</f>
        <v/>
      </c>
      <c r="V7" s="30">
        <f>IF(ISNUMBER(SEARCH(V$3,INDEX(Exigences!$E:$E,MATCH($A7,Exigences!$A:$A,0)))),"●","")</f>
        <v/>
      </c>
      <c r="W7" s="30">
        <f>IF(ISNUMBER(SEARCH(W$3,INDEX(Exigences!$E:$E,MATCH($A7,Exigences!$A:$A,0)))),"●","")</f>
        <v/>
      </c>
      <c r="X7" s="30">
        <f>IF(ISNUMBER(SEARCH(X$3,INDEX(Exigences!$E:$E,MATCH($A7,Exigences!$A:$A,0)))),"●","")</f>
        <v/>
      </c>
      <c r="Y7" s="30">
        <f>COUNTIF(D7:X7,"●")</f>
        <v/>
      </c>
    </row>
    <row r="8" ht="15" customHeight="1" s="20">
      <c r="A8" s="29" t="inlineStr">
        <is>
          <t>D-A1-05</t>
        </is>
      </c>
      <c r="B8" s="29">
        <f>INDEX(Exigences!$C:$C,MATCH(A8,Exigences!$A:$A,0))</f>
        <v/>
      </c>
      <c r="C8" s="25">
        <f>INDEX(Exigences!$D:$D,MATCH(A8,Exigences!$A:$A,0))</f>
        <v/>
      </c>
      <c r="D8" s="30">
        <f>IF(ISNUMBER(SEARCH(D$3,INDEX(Exigences!$E:$E,MATCH($A8,Exigences!$A:$A,0)))),"●","")</f>
        <v/>
      </c>
      <c r="E8" s="30">
        <f>IF(ISNUMBER(SEARCH(E$3,INDEX(Exigences!$E:$E,MATCH($A8,Exigences!$A:$A,0)))),"●","")</f>
        <v/>
      </c>
      <c r="F8" s="30">
        <f>IF(ISNUMBER(SEARCH(F$3,INDEX(Exigences!$E:$E,MATCH($A8,Exigences!$A:$A,0)))),"●","")</f>
        <v/>
      </c>
      <c r="G8" s="30">
        <f>IF(ISNUMBER(SEARCH(G$3,INDEX(Exigences!$E:$E,MATCH($A8,Exigences!$A:$A,0)))),"●","")</f>
        <v/>
      </c>
      <c r="H8" s="30">
        <f>IF(ISNUMBER(SEARCH(H$3,INDEX(Exigences!$E:$E,MATCH($A8,Exigences!$A:$A,0)))),"●","")</f>
        <v/>
      </c>
      <c r="I8" s="30">
        <f>IF(ISNUMBER(SEARCH(I$3,INDEX(Exigences!$E:$E,MATCH($A8,Exigences!$A:$A,0)))),"●","")</f>
        <v/>
      </c>
      <c r="J8" s="30">
        <f>IF(ISNUMBER(SEARCH(J$3,INDEX(Exigences!$E:$E,MATCH($A8,Exigences!$A:$A,0)))),"●","")</f>
        <v/>
      </c>
      <c r="K8" s="30">
        <f>IF(ISNUMBER(SEARCH(K$3,INDEX(Exigences!$E:$E,MATCH($A8,Exigences!$A:$A,0)))),"●","")</f>
        <v/>
      </c>
      <c r="L8" s="30">
        <f>IF(ISNUMBER(SEARCH(L$3,INDEX(Exigences!$E:$E,MATCH($A8,Exigences!$A:$A,0)))),"●","")</f>
        <v/>
      </c>
      <c r="M8" s="30">
        <f>IF(ISNUMBER(SEARCH(M$3,INDEX(Exigences!$E:$E,MATCH($A8,Exigences!$A:$A,0)))),"●","")</f>
        <v/>
      </c>
      <c r="N8" s="30">
        <f>IF(ISNUMBER(SEARCH(N$3,INDEX(Exigences!$E:$E,MATCH($A8,Exigences!$A:$A,0)))),"●","")</f>
        <v/>
      </c>
      <c r="O8" s="30">
        <f>IF(ISNUMBER(SEARCH(O$3,INDEX(Exigences!$E:$E,MATCH($A8,Exigences!$A:$A,0)))),"●","")</f>
        <v/>
      </c>
      <c r="P8" s="30">
        <f>IF(ISNUMBER(SEARCH(P$3,INDEX(Exigences!$E:$E,MATCH($A8,Exigences!$A:$A,0)))),"●","")</f>
        <v/>
      </c>
      <c r="Q8" s="30">
        <f>IF(ISNUMBER(SEARCH(Q$3,INDEX(Exigences!$E:$E,MATCH($A8,Exigences!$A:$A,0)))),"●","")</f>
        <v/>
      </c>
      <c r="R8" s="30">
        <f>IF(ISNUMBER(SEARCH(R$3,INDEX(Exigences!$E:$E,MATCH($A8,Exigences!$A:$A,0)))),"●","")</f>
        <v/>
      </c>
      <c r="S8" s="30">
        <f>IF(ISNUMBER(SEARCH(S$3,INDEX(Exigences!$E:$E,MATCH($A8,Exigences!$A:$A,0)))),"●","")</f>
        <v/>
      </c>
      <c r="T8" s="30">
        <f>IF(ISNUMBER(SEARCH(T$3,INDEX(Exigences!$E:$E,MATCH($A8,Exigences!$A:$A,0)))),"●","")</f>
        <v/>
      </c>
      <c r="U8" s="30">
        <f>IF(ISNUMBER(SEARCH(U$3,INDEX(Exigences!$E:$E,MATCH($A8,Exigences!$A:$A,0)))),"●","")</f>
        <v/>
      </c>
      <c r="V8" s="30">
        <f>IF(ISNUMBER(SEARCH(V$3,INDEX(Exigences!$E:$E,MATCH($A8,Exigences!$A:$A,0)))),"●","")</f>
        <v/>
      </c>
      <c r="W8" s="30">
        <f>IF(ISNUMBER(SEARCH(W$3,INDEX(Exigences!$E:$E,MATCH($A8,Exigences!$A:$A,0)))),"●","")</f>
        <v/>
      </c>
      <c r="X8" s="30">
        <f>IF(ISNUMBER(SEARCH(X$3,INDEX(Exigences!$E:$E,MATCH($A8,Exigences!$A:$A,0)))),"●","")</f>
        <v/>
      </c>
      <c r="Y8" s="30">
        <f>COUNTIF(D8:X8,"●")</f>
        <v/>
      </c>
    </row>
    <row r="9" ht="15" customHeight="1" s="20">
      <c r="A9" s="29" t="inlineStr">
        <is>
          <t>D-A1-06</t>
        </is>
      </c>
      <c r="B9" s="29">
        <f>INDEX(Exigences!$C:$C,MATCH(A9,Exigences!$A:$A,0))</f>
        <v/>
      </c>
      <c r="C9" s="25">
        <f>INDEX(Exigences!$D:$D,MATCH(A9,Exigences!$A:$A,0))</f>
        <v/>
      </c>
      <c r="D9" s="30">
        <f>IF(ISNUMBER(SEARCH(D$3,INDEX(Exigences!$E:$E,MATCH($A9,Exigences!$A:$A,0)))),"●","")</f>
        <v/>
      </c>
      <c r="E9" s="30">
        <f>IF(ISNUMBER(SEARCH(E$3,INDEX(Exigences!$E:$E,MATCH($A9,Exigences!$A:$A,0)))),"●","")</f>
        <v/>
      </c>
      <c r="F9" s="30">
        <f>IF(ISNUMBER(SEARCH(F$3,INDEX(Exigences!$E:$E,MATCH($A9,Exigences!$A:$A,0)))),"●","")</f>
        <v/>
      </c>
      <c r="G9" s="30">
        <f>IF(ISNUMBER(SEARCH(G$3,INDEX(Exigences!$E:$E,MATCH($A9,Exigences!$A:$A,0)))),"●","")</f>
        <v/>
      </c>
      <c r="H9" s="30">
        <f>IF(ISNUMBER(SEARCH(H$3,INDEX(Exigences!$E:$E,MATCH($A9,Exigences!$A:$A,0)))),"●","")</f>
        <v/>
      </c>
      <c r="I9" s="30">
        <f>IF(ISNUMBER(SEARCH(I$3,INDEX(Exigences!$E:$E,MATCH($A9,Exigences!$A:$A,0)))),"●","")</f>
        <v/>
      </c>
      <c r="J9" s="30">
        <f>IF(ISNUMBER(SEARCH(J$3,INDEX(Exigences!$E:$E,MATCH($A9,Exigences!$A:$A,0)))),"●","")</f>
        <v/>
      </c>
      <c r="K9" s="30">
        <f>IF(ISNUMBER(SEARCH(K$3,INDEX(Exigences!$E:$E,MATCH($A9,Exigences!$A:$A,0)))),"●","")</f>
        <v/>
      </c>
      <c r="L9" s="30">
        <f>IF(ISNUMBER(SEARCH(L$3,INDEX(Exigences!$E:$E,MATCH($A9,Exigences!$A:$A,0)))),"●","")</f>
        <v/>
      </c>
      <c r="M9" s="30">
        <f>IF(ISNUMBER(SEARCH(M$3,INDEX(Exigences!$E:$E,MATCH($A9,Exigences!$A:$A,0)))),"●","")</f>
        <v/>
      </c>
      <c r="N9" s="30">
        <f>IF(ISNUMBER(SEARCH(N$3,INDEX(Exigences!$E:$E,MATCH($A9,Exigences!$A:$A,0)))),"●","")</f>
        <v/>
      </c>
      <c r="O9" s="30">
        <f>IF(ISNUMBER(SEARCH(O$3,INDEX(Exigences!$E:$E,MATCH($A9,Exigences!$A:$A,0)))),"●","")</f>
        <v/>
      </c>
      <c r="P9" s="30">
        <f>IF(ISNUMBER(SEARCH(P$3,INDEX(Exigences!$E:$E,MATCH($A9,Exigences!$A:$A,0)))),"●","")</f>
        <v/>
      </c>
      <c r="Q9" s="30">
        <f>IF(ISNUMBER(SEARCH(Q$3,INDEX(Exigences!$E:$E,MATCH($A9,Exigences!$A:$A,0)))),"●","")</f>
        <v/>
      </c>
      <c r="R9" s="30">
        <f>IF(ISNUMBER(SEARCH(R$3,INDEX(Exigences!$E:$E,MATCH($A9,Exigences!$A:$A,0)))),"●","")</f>
        <v/>
      </c>
      <c r="S9" s="30">
        <f>IF(ISNUMBER(SEARCH(S$3,INDEX(Exigences!$E:$E,MATCH($A9,Exigences!$A:$A,0)))),"●","")</f>
        <v/>
      </c>
      <c r="T9" s="30">
        <f>IF(ISNUMBER(SEARCH(T$3,INDEX(Exigences!$E:$E,MATCH($A9,Exigences!$A:$A,0)))),"●","")</f>
        <v/>
      </c>
      <c r="U9" s="30">
        <f>IF(ISNUMBER(SEARCH(U$3,INDEX(Exigences!$E:$E,MATCH($A9,Exigences!$A:$A,0)))),"●","")</f>
        <v/>
      </c>
      <c r="V9" s="30">
        <f>IF(ISNUMBER(SEARCH(V$3,INDEX(Exigences!$E:$E,MATCH($A9,Exigences!$A:$A,0)))),"●","")</f>
        <v/>
      </c>
      <c r="W9" s="30">
        <f>IF(ISNUMBER(SEARCH(W$3,INDEX(Exigences!$E:$E,MATCH($A9,Exigences!$A:$A,0)))),"●","")</f>
        <v/>
      </c>
      <c r="X9" s="30">
        <f>IF(ISNUMBER(SEARCH(X$3,INDEX(Exigences!$E:$E,MATCH($A9,Exigences!$A:$A,0)))),"●","")</f>
        <v/>
      </c>
      <c r="Y9" s="30">
        <f>COUNTIF(D9:X9,"●")</f>
        <v/>
      </c>
    </row>
    <row r="10" ht="15" customHeight="1" s="20">
      <c r="A10" s="29" t="inlineStr">
        <is>
          <t>D-A1-07</t>
        </is>
      </c>
      <c r="B10" s="29">
        <f>INDEX(Exigences!$C:$C,MATCH(A10,Exigences!$A:$A,0))</f>
        <v/>
      </c>
      <c r="C10" s="25">
        <f>INDEX(Exigences!$D:$D,MATCH(A10,Exigences!$A:$A,0))</f>
        <v/>
      </c>
      <c r="D10" s="30">
        <f>IF(ISNUMBER(SEARCH(D$3,INDEX(Exigences!$E:$E,MATCH($A10,Exigences!$A:$A,0)))),"●","")</f>
        <v/>
      </c>
      <c r="E10" s="30">
        <f>IF(ISNUMBER(SEARCH(E$3,INDEX(Exigences!$E:$E,MATCH($A10,Exigences!$A:$A,0)))),"●","")</f>
        <v/>
      </c>
      <c r="F10" s="30">
        <f>IF(ISNUMBER(SEARCH(F$3,INDEX(Exigences!$E:$E,MATCH($A10,Exigences!$A:$A,0)))),"●","")</f>
        <v/>
      </c>
      <c r="G10" s="30">
        <f>IF(ISNUMBER(SEARCH(G$3,INDEX(Exigences!$E:$E,MATCH($A10,Exigences!$A:$A,0)))),"●","")</f>
        <v/>
      </c>
      <c r="H10" s="30">
        <f>IF(ISNUMBER(SEARCH(H$3,INDEX(Exigences!$E:$E,MATCH($A10,Exigences!$A:$A,0)))),"●","")</f>
        <v/>
      </c>
      <c r="I10" s="30">
        <f>IF(ISNUMBER(SEARCH(I$3,INDEX(Exigences!$E:$E,MATCH($A10,Exigences!$A:$A,0)))),"●","")</f>
        <v/>
      </c>
      <c r="J10" s="30">
        <f>IF(ISNUMBER(SEARCH(J$3,INDEX(Exigences!$E:$E,MATCH($A10,Exigences!$A:$A,0)))),"●","")</f>
        <v/>
      </c>
      <c r="K10" s="30">
        <f>IF(ISNUMBER(SEARCH(K$3,INDEX(Exigences!$E:$E,MATCH($A10,Exigences!$A:$A,0)))),"●","")</f>
        <v/>
      </c>
      <c r="L10" s="30">
        <f>IF(ISNUMBER(SEARCH(L$3,INDEX(Exigences!$E:$E,MATCH($A10,Exigences!$A:$A,0)))),"●","")</f>
        <v/>
      </c>
      <c r="M10" s="30">
        <f>IF(ISNUMBER(SEARCH(M$3,INDEX(Exigences!$E:$E,MATCH($A10,Exigences!$A:$A,0)))),"●","")</f>
        <v/>
      </c>
      <c r="N10" s="30">
        <f>IF(ISNUMBER(SEARCH(N$3,INDEX(Exigences!$E:$E,MATCH($A10,Exigences!$A:$A,0)))),"●","")</f>
        <v/>
      </c>
      <c r="O10" s="30">
        <f>IF(ISNUMBER(SEARCH(O$3,INDEX(Exigences!$E:$E,MATCH($A10,Exigences!$A:$A,0)))),"●","")</f>
        <v/>
      </c>
      <c r="P10" s="30">
        <f>IF(ISNUMBER(SEARCH(P$3,INDEX(Exigences!$E:$E,MATCH($A10,Exigences!$A:$A,0)))),"●","")</f>
        <v/>
      </c>
      <c r="Q10" s="30">
        <f>IF(ISNUMBER(SEARCH(Q$3,INDEX(Exigences!$E:$E,MATCH($A10,Exigences!$A:$A,0)))),"●","")</f>
        <v/>
      </c>
      <c r="R10" s="30">
        <f>IF(ISNUMBER(SEARCH(R$3,INDEX(Exigences!$E:$E,MATCH($A10,Exigences!$A:$A,0)))),"●","")</f>
        <v/>
      </c>
      <c r="S10" s="30">
        <f>IF(ISNUMBER(SEARCH(S$3,INDEX(Exigences!$E:$E,MATCH($A10,Exigences!$A:$A,0)))),"●","")</f>
        <v/>
      </c>
      <c r="T10" s="30">
        <f>IF(ISNUMBER(SEARCH(T$3,INDEX(Exigences!$E:$E,MATCH($A10,Exigences!$A:$A,0)))),"●","")</f>
        <v/>
      </c>
      <c r="U10" s="30">
        <f>IF(ISNUMBER(SEARCH(U$3,INDEX(Exigences!$E:$E,MATCH($A10,Exigences!$A:$A,0)))),"●","")</f>
        <v/>
      </c>
      <c r="V10" s="30">
        <f>IF(ISNUMBER(SEARCH(V$3,INDEX(Exigences!$E:$E,MATCH($A10,Exigences!$A:$A,0)))),"●","")</f>
        <v/>
      </c>
      <c r="W10" s="30">
        <f>IF(ISNUMBER(SEARCH(W$3,INDEX(Exigences!$E:$E,MATCH($A10,Exigences!$A:$A,0)))),"●","")</f>
        <v/>
      </c>
      <c r="X10" s="30">
        <f>IF(ISNUMBER(SEARCH(X$3,INDEX(Exigences!$E:$E,MATCH($A10,Exigences!$A:$A,0)))),"●","")</f>
        <v/>
      </c>
      <c r="Y10" s="30">
        <f>COUNTIF(D10:X10,"●")</f>
        <v/>
      </c>
    </row>
    <row r="11" ht="15" customHeight="1" s="20">
      <c r="A11" s="29" t="inlineStr">
        <is>
          <t>D-A1-08</t>
        </is>
      </c>
      <c r="B11" s="29">
        <f>INDEX(Exigences!$C:$C,MATCH(A11,Exigences!$A:$A,0))</f>
        <v/>
      </c>
      <c r="C11" s="25">
        <f>INDEX(Exigences!$D:$D,MATCH(A11,Exigences!$A:$A,0))</f>
        <v/>
      </c>
      <c r="D11" s="30">
        <f>IF(ISNUMBER(SEARCH(D$3,INDEX(Exigences!$E:$E,MATCH($A11,Exigences!$A:$A,0)))),"●","")</f>
        <v/>
      </c>
      <c r="E11" s="30">
        <f>IF(ISNUMBER(SEARCH(E$3,INDEX(Exigences!$E:$E,MATCH($A11,Exigences!$A:$A,0)))),"●","")</f>
        <v/>
      </c>
      <c r="F11" s="30">
        <f>IF(ISNUMBER(SEARCH(F$3,INDEX(Exigences!$E:$E,MATCH($A11,Exigences!$A:$A,0)))),"●","")</f>
        <v/>
      </c>
      <c r="G11" s="30">
        <f>IF(ISNUMBER(SEARCH(G$3,INDEX(Exigences!$E:$E,MATCH($A11,Exigences!$A:$A,0)))),"●","")</f>
        <v/>
      </c>
      <c r="H11" s="30">
        <f>IF(ISNUMBER(SEARCH(H$3,INDEX(Exigences!$E:$E,MATCH($A11,Exigences!$A:$A,0)))),"●","")</f>
        <v/>
      </c>
      <c r="I11" s="30">
        <f>IF(ISNUMBER(SEARCH(I$3,INDEX(Exigences!$E:$E,MATCH($A11,Exigences!$A:$A,0)))),"●","")</f>
        <v/>
      </c>
      <c r="J11" s="30">
        <f>IF(ISNUMBER(SEARCH(J$3,INDEX(Exigences!$E:$E,MATCH($A11,Exigences!$A:$A,0)))),"●","")</f>
        <v/>
      </c>
      <c r="K11" s="30">
        <f>IF(ISNUMBER(SEARCH(K$3,INDEX(Exigences!$E:$E,MATCH($A11,Exigences!$A:$A,0)))),"●","")</f>
        <v/>
      </c>
      <c r="L11" s="30">
        <f>IF(ISNUMBER(SEARCH(L$3,INDEX(Exigences!$E:$E,MATCH($A11,Exigences!$A:$A,0)))),"●","")</f>
        <v/>
      </c>
      <c r="M11" s="30">
        <f>IF(ISNUMBER(SEARCH(M$3,INDEX(Exigences!$E:$E,MATCH($A11,Exigences!$A:$A,0)))),"●","")</f>
        <v/>
      </c>
      <c r="N11" s="30">
        <f>IF(ISNUMBER(SEARCH(N$3,INDEX(Exigences!$E:$E,MATCH($A11,Exigences!$A:$A,0)))),"●","")</f>
        <v/>
      </c>
      <c r="O11" s="30">
        <f>IF(ISNUMBER(SEARCH(O$3,INDEX(Exigences!$E:$E,MATCH($A11,Exigences!$A:$A,0)))),"●","")</f>
        <v/>
      </c>
      <c r="P11" s="30">
        <f>IF(ISNUMBER(SEARCH(P$3,INDEX(Exigences!$E:$E,MATCH($A11,Exigences!$A:$A,0)))),"●","")</f>
        <v/>
      </c>
      <c r="Q11" s="30">
        <f>IF(ISNUMBER(SEARCH(Q$3,INDEX(Exigences!$E:$E,MATCH($A11,Exigences!$A:$A,0)))),"●","")</f>
        <v/>
      </c>
      <c r="R11" s="30">
        <f>IF(ISNUMBER(SEARCH(R$3,INDEX(Exigences!$E:$E,MATCH($A11,Exigences!$A:$A,0)))),"●","")</f>
        <v/>
      </c>
      <c r="S11" s="30">
        <f>IF(ISNUMBER(SEARCH(S$3,INDEX(Exigences!$E:$E,MATCH($A11,Exigences!$A:$A,0)))),"●","")</f>
        <v/>
      </c>
      <c r="T11" s="30">
        <f>IF(ISNUMBER(SEARCH(T$3,INDEX(Exigences!$E:$E,MATCH($A11,Exigences!$A:$A,0)))),"●","")</f>
        <v/>
      </c>
      <c r="U11" s="30">
        <f>IF(ISNUMBER(SEARCH(U$3,INDEX(Exigences!$E:$E,MATCH($A11,Exigences!$A:$A,0)))),"●","")</f>
        <v/>
      </c>
      <c r="V11" s="30">
        <f>IF(ISNUMBER(SEARCH(V$3,INDEX(Exigences!$E:$E,MATCH($A11,Exigences!$A:$A,0)))),"●","")</f>
        <v/>
      </c>
      <c r="W11" s="30">
        <f>IF(ISNUMBER(SEARCH(W$3,INDEX(Exigences!$E:$E,MATCH($A11,Exigences!$A:$A,0)))),"●","")</f>
        <v/>
      </c>
      <c r="X11" s="30">
        <f>IF(ISNUMBER(SEARCH(X$3,INDEX(Exigences!$E:$E,MATCH($A11,Exigences!$A:$A,0)))),"●","")</f>
        <v/>
      </c>
      <c r="Y11" s="30">
        <f>COUNTIF(D11:X11,"●")</f>
        <v/>
      </c>
    </row>
    <row r="12" ht="15" customHeight="1" s="20">
      <c r="A12" s="29" t="inlineStr">
        <is>
          <t>D-A1-09</t>
        </is>
      </c>
      <c r="B12" s="29">
        <f>INDEX(Exigences!$C:$C,MATCH(A12,Exigences!$A:$A,0))</f>
        <v/>
      </c>
      <c r="C12" s="25">
        <f>INDEX(Exigences!$D:$D,MATCH(A12,Exigences!$A:$A,0))</f>
        <v/>
      </c>
      <c r="D12" s="30">
        <f>IF(ISNUMBER(SEARCH(D$3,INDEX(Exigences!$E:$E,MATCH($A12,Exigences!$A:$A,0)))),"●","")</f>
        <v/>
      </c>
      <c r="E12" s="30">
        <f>IF(ISNUMBER(SEARCH(E$3,INDEX(Exigences!$E:$E,MATCH($A12,Exigences!$A:$A,0)))),"●","")</f>
        <v/>
      </c>
      <c r="F12" s="30">
        <f>IF(ISNUMBER(SEARCH(F$3,INDEX(Exigences!$E:$E,MATCH($A12,Exigences!$A:$A,0)))),"●","")</f>
        <v/>
      </c>
      <c r="G12" s="30">
        <f>IF(ISNUMBER(SEARCH(G$3,INDEX(Exigences!$E:$E,MATCH($A12,Exigences!$A:$A,0)))),"●","")</f>
        <v/>
      </c>
      <c r="H12" s="30">
        <f>IF(ISNUMBER(SEARCH(H$3,INDEX(Exigences!$E:$E,MATCH($A12,Exigences!$A:$A,0)))),"●","")</f>
        <v/>
      </c>
      <c r="I12" s="30">
        <f>IF(ISNUMBER(SEARCH(I$3,INDEX(Exigences!$E:$E,MATCH($A12,Exigences!$A:$A,0)))),"●","")</f>
        <v/>
      </c>
      <c r="J12" s="30">
        <f>IF(ISNUMBER(SEARCH(J$3,INDEX(Exigences!$E:$E,MATCH($A12,Exigences!$A:$A,0)))),"●","")</f>
        <v/>
      </c>
      <c r="K12" s="30">
        <f>IF(ISNUMBER(SEARCH(K$3,INDEX(Exigences!$E:$E,MATCH($A12,Exigences!$A:$A,0)))),"●","")</f>
        <v/>
      </c>
      <c r="L12" s="30">
        <f>IF(ISNUMBER(SEARCH(L$3,INDEX(Exigences!$E:$E,MATCH($A12,Exigences!$A:$A,0)))),"●","")</f>
        <v/>
      </c>
      <c r="M12" s="30">
        <f>IF(ISNUMBER(SEARCH(M$3,INDEX(Exigences!$E:$E,MATCH($A12,Exigences!$A:$A,0)))),"●","")</f>
        <v/>
      </c>
      <c r="N12" s="30">
        <f>IF(ISNUMBER(SEARCH(N$3,INDEX(Exigences!$E:$E,MATCH($A12,Exigences!$A:$A,0)))),"●","")</f>
        <v/>
      </c>
      <c r="O12" s="30">
        <f>IF(ISNUMBER(SEARCH(O$3,INDEX(Exigences!$E:$E,MATCH($A12,Exigences!$A:$A,0)))),"●","")</f>
        <v/>
      </c>
      <c r="P12" s="30">
        <f>IF(ISNUMBER(SEARCH(P$3,INDEX(Exigences!$E:$E,MATCH($A12,Exigences!$A:$A,0)))),"●","")</f>
        <v/>
      </c>
      <c r="Q12" s="30">
        <f>IF(ISNUMBER(SEARCH(Q$3,INDEX(Exigences!$E:$E,MATCH($A12,Exigences!$A:$A,0)))),"●","")</f>
        <v/>
      </c>
      <c r="R12" s="30">
        <f>IF(ISNUMBER(SEARCH(R$3,INDEX(Exigences!$E:$E,MATCH($A12,Exigences!$A:$A,0)))),"●","")</f>
        <v/>
      </c>
      <c r="S12" s="30">
        <f>IF(ISNUMBER(SEARCH(S$3,INDEX(Exigences!$E:$E,MATCH($A12,Exigences!$A:$A,0)))),"●","")</f>
        <v/>
      </c>
      <c r="T12" s="30">
        <f>IF(ISNUMBER(SEARCH(T$3,INDEX(Exigences!$E:$E,MATCH($A12,Exigences!$A:$A,0)))),"●","")</f>
        <v/>
      </c>
      <c r="U12" s="30">
        <f>IF(ISNUMBER(SEARCH(U$3,INDEX(Exigences!$E:$E,MATCH($A12,Exigences!$A:$A,0)))),"●","")</f>
        <v/>
      </c>
      <c r="V12" s="30">
        <f>IF(ISNUMBER(SEARCH(V$3,INDEX(Exigences!$E:$E,MATCH($A12,Exigences!$A:$A,0)))),"●","")</f>
        <v/>
      </c>
      <c r="W12" s="30">
        <f>IF(ISNUMBER(SEARCH(W$3,INDEX(Exigences!$E:$E,MATCH($A12,Exigences!$A:$A,0)))),"●","")</f>
        <v/>
      </c>
      <c r="X12" s="30">
        <f>IF(ISNUMBER(SEARCH(X$3,INDEX(Exigences!$E:$E,MATCH($A12,Exigences!$A:$A,0)))),"●","")</f>
        <v/>
      </c>
      <c r="Y12" s="30">
        <f>COUNTIF(D12:X12,"●")</f>
        <v/>
      </c>
    </row>
    <row r="13" ht="15" customHeight="1" s="20">
      <c r="A13" s="29" t="inlineStr">
        <is>
          <t>D-A1-10</t>
        </is>
      </c>
      <c r="B13" s="29">
        <f>INDEX(Exigences!$C:$C,MATCH(A13,Exigences!$A:$A,0))</f>
        <v/>
      </c>
      <c r="C13" s="25">
        <f>INDEX(Exigences!$D:$D,MATCH(A13,Exigences!$A:$A,0))</f>
        <v/>
      </c>
      <c r="D13" s="30">
        <f>IF(ISNUMBER(SEARCH(D$3,INDEX(Exigences!$E:$E,MATCH($A13,Exigences!$A:$A,0)))),"●","")</f>
        <v/>
      </c>
      <c r="E13" s="30">
        <f>IF(ISNUMBER(SEARCH(E$3,INDEX(Exigences!$E:$E,MATCH($A13,Exigences!$A:$A,0)))),"●","")</f>
        <v/>
      </c>
      <c r="F13" s="30">
        <f>IF(ISNUMBER(SEARCH(F$3,INDEX(Exigences!$E:$E,MATCH($A13,Exigences!$A:$A,0)))),"●","")</f>
        <v/>
      </c>
      <c r="G13" s="30">
        <f>IF(ISNUMBER(SEARCH(G$3,INDEX(Exigences!$E:$E,MATCH($A13,Exigences!$A:$A,0)))),"●","")</f>
        <v/>
      </c>
      <c r="H13" s="30">
        <f>IF(ISNUMBER(SEARCH(H$3,INDEX(Exigences!$E:$E,MATCH($A13,Exigences!$A:$A,0)))),"●","")</f>
        <v/>
      </c>
      <c r="I13" s="30">
        <f>IF(ISNUMBER(SEARCH(I$3,INDEX(Exigences!$E:$E,MATCH($A13,Exigences!$A:$A,0)))),"●","")</f>
        <v/>
      </c>
      <c r="J13" s="30">
        <f>IF(ISNUMBER(SEARCH(J$3,INDEX(Exigences!$E:$E,MATCH($A13,Exigences!$A:$A,0)))),"●","")</f>
        <v/>
      </c>
      <c r="K13" s="30">
        <f>IF(ISNUMBER(SEARCH(K$3,INDEX(Exigences!$E:$E,MATCH($A13,Exigences!$A:$A,0)))),"●","")</f>
        <v/>
      </c>
      <c r="L13" s="30">
        <f>IF(ISNUMBER(SEARCH(L$3,INDEX(Exigences!$E:$E,MATCH($A13,Exigences!$A:$A,0)))),"●","")</f>
        <v/>
      </c>
      <c r="M13" s="30">
        <f>IF(ISNUMBER(SEARCH(M$3,INDEX(Exigences!$E:$E,MATCH($A13,Exigences!$A:$A,0)))),"●","")</f>
        <v/>
      </c>
      <c r="N13" s="30">
        <f>IF(ISNUMBER(SEARCH(N$3,INDEX(Exigences!$E:$E,MATCH($A13,Exigences!$A:$A,0)))),"●","")</f>
        <v/>
      </c>
      <c r="O13" s="30">
        <f>IF(ISNUMBER(SEARCH(O$3,INDEX(Exigences!$E:$E,MATCH($A13,Exigences!$A:$A,0)))),"●","")</f>
        <v/>
      </c>
      <c r="P13" s="30">
        <f>IF(ISNUMBER(SEARCH(P$3,INDEX(Exigences!$E:$E,MATCH($A13,Exigences!$A:$A,0)))),"●","")</f>
        <v/>
      </c>
      <c r="Q13" s="30">
        <f>IF(ISNUMBER(SEARCH(Q$3,INDEX(Exigences!$E:$E,MATCH($A13,Exigences!$A:$A,0)))),"●","")</f>
        <v/>
      </c>
      <c r="R13" s="30">
        <f>IF(ISNUMBER(SEARCH(R$3,INDEX(Exigences!$E:$E,MATCH($A13,Exigences!$A:$A,0)))),"●","")</f>
        <v/>
      </c>
      <c r="S13" s="30">
        <f>IF(ISNUMBER(SEARCH(S$3,INDEX(Exigences!$E:$E,MATCH($A13,Exigences!$A:$A,0)))),"●","")</f>
        <v/>
      </c>
      <c r="T13" s="30">
        <f>IF(ISNUMBER(SEARCH(T$3,INDEX(Exigences!$E:$E,MATCH($A13,Exigences!$A:$A,0)))),"●","")</f>
        <v/>
      </c>
      <c r="U13" s="30">
        <f>IF(ISNUMBER(SEARCH(U$3,INDEX(Exigences!$E:$E,MATCH($A13,Exigences!$A:$A,0)))),"●","")</f>
        <v/>
      </c>
      <c r="V13" s="30">
        <f>IF(ISNUMBER(SEARCH(V$3,INDEX(Exigences!$E:$E,MATCH($A13,Exigences!$A:$A,0)))),"●","")</f>
        <v/>
      </c>
      <c r="W13" s="30">
        <f>IF(ISNUMBER(SEARCH(W$3,INDEX(Exigences!$E:$E,MATCH($A13,Exigences!$A:$A,0)))),"●","")</f>
        <v/>
      </c>
      <c r="X13" s="30">
        <f>IF(ISNUMBER(SEARCH(X$3,INDEX(Exigences!$E:$E,MATCH($A13,Exigences!$A:$A,0)))),"●","")</f>
        <v/>
      </c>
      <c r="Y13" s="30">
        <f>COUNTIF(D13:X13,"●")</f>
        <v/>
      </c>
    </row>
    <row r="14" ht="15" customHeight="1" s="20">
      <c r="A14" s="29" t="inlineStr">
        <is>
          <t>D-A2-01</t>
        </is>
      </c>
      <c r="B14" s="29">
        <f>INDEX(Exigences!$C:$C,MATCH(A14,Exigences!$A:$A,0))</f>
        <v/>
      </c>
      <c r="C14" s="25">
        <f>INDEX(Exigences!$D:$D,MATCH(A14,Exigences!$A:$A,0))</f>
        <v/>
      </c>
      <c r="D14" s="30">
        <f>IF(ISNUMBER(SEARCH(D$3,INDEX(Exigences!$E:$E,MATCH($A14,Exigences!$A:$A,0)))),"●","")</f>
        <v/>
      </c>
      <c r="E14" s="30">
        <f>IF(ISNUMBER(SEARCH(E$3,INDEX(Exigences!$E:$E,MATCH($A14,Exigences!$A:$A,0)))),"●","")</f>
        <v/>
      </c>
      <c r="F14" s="30">
        <f>IF(ISNUMBER(SEARCH(F$3,INDEX(Exigences!$E:$E,MATCH($A14,Exigences!$A:$A,0)))),"●","")</f>
        <v/>
      </c>
      <c r="G14" s="30">
        <f>IF(ISNUMBER(SEARCH(G$3,INDEX(Exigences!$E:$E,MATCH($A14,Exigences!$A:$A,0)))),"●","")</f>
        <v/>
      </c>
      <c r="H14" s="30">
        <f>IF(ISNUMBER(SEARCH(H$3,INDEX(Exigences!$E:$E,MATCH($A14,Exigences!$A:$A,0)))),"●","")</f>
        <v/>
      </c>
      <c r="I14" s="30">
        <f>IF(ISNUMBER(SEARCH(I$3,INDEX(Exigences!$E:$E,MATCH($A14,Exigences!$A:$A,0)))),"●","")</f>
        <v/>
      </c>
      <c r="J14" s="30">
        <f>IF(ISNUMBER(SEARCH(J$3,INDEX(Exigences!$E:$E,MATCH($A14,Exigences!$A:$A,0)))),"●","")</f>
        <v/>
      </c>
      <c r="K14" s="30">
        <f>IF(ISNUMBER(SEARCH(K$3,INDEX(Exigences!$E:$E,MATCH($A14,Exigences!$A:$A,0)))),"●","")</f>
        <v/>
      </c>
      <c r="L14" s="30">
        <f>IF(ISNUMBER(SEARCH(L$3,INDEX(Exigences!$E:$E,MATCH($A14,Exigences!$A:$A,0)))),"●","")</f>
        <v/>
      </c>
      <c r="M14" s="30">
        <f>IF(ISNUMBER(SEARCH(M$3,INDEX(Exigences!$E:$E,MATCH($A14,Exigences!$A:$A,0)))),"●","")</f>
        <v/>
      </c>
      <c r="N14" s="30">
        <f>IF(ISNUMBER(SEARCH(N$3,INDEX(Exigences!$E:$E,MATCH($A14,Exigences!$A:$A,0)))),"●","")</f>
        <v/>
      </c>
      <c r="O14" s="30">
        <f>IF(ISNUMBER(SEARCH(O$3,INDEX(Exigences!$E:$E,MATCH($A14,Exigences!$A:$A,0)))),"●","")</f>
        <v/>
      </c>
      <c r="P14" s="30">
        <f>IF(ISNUMBER(SEARCH(P$3,INDEX(Exigences!$E:$E,MATCH($A14,Exigences!$A:$A,0)))),"●","")</f>
        <v/>
      </c>
      <c r="Q14" s="30">
        <f>IF(ISNUMBER(SEARCH(Q$3,INDEX(Exigences!$E:$E,MATCH($A14,Exigences!$A:$A,0)))),"●","")</f>
        <v/>
      </c>
      <c r="R14" s="30">
        <f>IF(ISNUMBER(SEARCH(R$3,INDEX(Exigences!$E:$E,MATCH($A14,Exigences!$A:$A,0)))),"●","")</f>
        <v/>
      </c>
      <c r="S14" s="30">
        <f>IF(ISNUMBER(SEARCH(S$3,INDEX(Exigences!$E:$E,MATCH($A14,Exigences!$A:$A,0)))),"●","")</f>
        <v/>
      </c>
      <c r="T14" s="30">
        <f>IF(ISNUMBER(SEARCH(T$3,INDEX(Exigences!$E:$E,MATCH($A14,Exigences!$A:$A,0)))),"●","")</f>
        <v/>
      </c>
      <c r="U14" s="30">
        <f>IF(ISNUMBER(SEARCH(U$3,INDEX(Exigences!$E:$E,MATCH($A14,Exigences!$A:$A,0)))),"●","")</f>
        <v/>
      </c>
      <c r="V14" s="30">
        <f>IF(ISNUMBER(SEARCH(V$3,INDEX(Exigences!$E:$E,MATCH($A14,Exigences!$A:$A,0)))),"●","")</f>
        <v/>
      </c>
      <c r="W14" s="30">
        <f>IF(ISNUMBER(SEARCH(W$3,INDEX(Exigences!$E:$E,MATCH($A14,Exigences!$A:$A,0)))),"●","")</f>
        <v/>
      </c>
      <c r="X14" s="30">
        <f>IF(ISNUMBER(SEARCH(X$3,INDEX(Exigences!$E:$E,MATCH($A14,Exigences!$A:$A,0)))),"●","")</f>
        <v/>
      </c>
      <c r="Y14" s="30">
        <f>COUNTIF(D14:X14,"●")</f>
        <v/>
      </c>
    </row>
    <row r="15" ht="15" customHeight="1" s="20">
      <c r="A15" s="29" t="inlineStr">
        <is>
          <t>D-A2-02</t>
        </is>
      </c>
      <c r="B15" s="29">
        <f>INDEX(Exigences!$C:$C,MATCH(A15,Exigences!$A:$A,0))</f>
        <v/>
      </c>
      <c r="C15" s="25">
        <f>INDEX(Exigences!$D:$D,MATCH(A15,Exigences!$A:$A,0))</f>
        <v/>
      </c>
      <c r="D15" s="30">
        <f>IF(ISNUMBER(SEARCH(D$3,INDEX(Exigences!$E:$E,MATCH($A15,Exigences!$A:$A,0)))),"●","")</f>
        <v/>
      </c>
      <c r="E15" s="30">
        <f>IF(ISNUMBER(SEARCH(E$3,INDEX(Exigences!$E:$E,MATCH($A15,Exigences!$A:$A,0)))),"●","")</f>
        <v/>
      </c>
      <c r="F15" s="30">
        <f>IF(ISNUMBER(SEARCH(F$3,INDEX(Exigences!$E:$E,MATCH($A15,Exigences!$A:$A,0)))),"●","")</f>
        <v/>
      </c>
      <c r="G15" s="30">
        <f>IF(ISNUMBER(SEARCH(G$3,INDEX(Exigences!$E:$E,MATCH($A15,Exigences!$A:$A,0)))),"●","")</f>
        <v/>
      </c>
      <c r="H15" s="30">
        <f>IF(ISNUMBER(SEARCH(H$3,INDEX(Exigences!$E:$E,MATCH($A15,Exigences!$A:$A,0)))),"●","")</f>
        <v/>
      </c>
      <c r="I15" s="30">
        <f>IF(ISNUMBER(SEARCH(I$3,INDEX(Exigences!$E:$E,MATCH($A15,Exigences!$A:$A,0)))),"●","")</f>
        <v/>
      </c>
      <c r="J15" s="30">
        <f>IF(ISNUMBER(SEARCH(J$3,INDEX(Exigences!$E:$E,MATCH($A15,Exigences!$A:$A,0)))),"●","")</f>
        <v/>
      </c>
      <c r="K15" s="30">
        <f>IF(ISNUMBER(SEARCH(K$3,INDEX(Exigences!$E:$E,MATCH($A15,Exigences!$A:$A,0)))),"●","")</f>
        <v/>
      </c>
      <c r="L15" s="30">
        <f>IF(ISNUMBER(SEARCH(L$3,INDEX(Exigences!$E:$E,MATCH($A15,Exigences!$A:$A,0)))),"●","")</f>
        <v/>
      </c>
      <c r="M15" s="30">
        <f>IF(ISNUMBER(SEARCH(M$3,INDEX(Exigences!$E:$E,MATCH($A15,Exigences!$A:$A,0)))),"●","")</f>
        <v/>
      </c>
      <c r="N15" s="30">
        <f>IF(ISNUMBER(SEARCH(N$3,INDEX(Exigences!$E:$E,MATCH($A15,Exigences!$A:$A,0)))),"●","")</f>
        <v/>
      </c>
      <c r="O15" s="30">
        <f>IF(ISNUMBER(SEARCH(O$3,INDEX(Exigences!$E:$E,MATCH($A15,Exigences!$A:$A,0)))),"●","")</f>
        <v/>
      </c>
      <c r="P15" s="30">
        <f>IF(ISNUMBER(SEARCH(P$3,INDEX(Exigences!$E:$E,MATCH($A15,Exigences!$A:$A,0)))),"●","")</f>
        <v/>
      </c>
      <c r="Q15" s="30">
        <f>IF(ISNUMBER(SEARCH(Q$3,INDEX(Exigences!$E:$E,MATCH($A15,Exigences!$A:$A,0)))),"●","")</f>
        <v/>
      </c>
      <c r="R15" s="30">
        <f>IF(ISNUMBER(SEARCH(R$3,INDEX(Exigences!$E:$E,MATCH($A15,Exigences!$A:$A,0)))),"●","")</f>
        <v/>
      </c>
      <c r="S15" s="30">
        <f>IF(ISNUMBER(SEARCH(S$3,INDEX(Exigences!$E:$E,MATCH($A15,Exigences!$A:$A,0)))),"●","")</f>
        <v/>
      </c>
      <c r="T15" s="30">
        <f>IF(ISNUMBER(SEARCH(T$3,INDEX(Exigences!$E:$E,MATCH($A15,Exigences!$A:$A,0)))),"●","")</f>
        <v/>
      </c>
      <c r="U15" s="30">
        <f>IF(ISNUMBER(SEARCH(U$3,INDEX(Exigences!$E:$E,MATCH($A15,Exigences!$A:$A,0)))),"●","")</f>
        <v/>
      </c>
      <c r="V15" s="30">
        <f>IF(ISNUMBER(SEARCH(V$3,INDEX(Exigences!$E:$E,MATCH($A15,Exigences!$A:$A,0)))),"●","")</f>
        <v/>
      </c>
      <c r="W15" s="30">
        <f>IF(ISNUMBER(SEARCH(W$3,INDEX(Exigences!$E:$E,MATCH($A15,Exigences!$A:$A,0)))),"●","")</f>
        <v/>
      </c>
      <c r="X15" s="30">
        <f>IF(ISNUMBER(SEARCH(X$3,INDEX(Exigences!$E:$E,MATCH($A15,Exigences!$A:$A,0)))),"●","")</f>
        <v/>
      </c>
      <c r="Y15" s="30">
        <f>COUNTIF(D15:X15,"●")</f>
        <v/>
      </c>
    </row>
    <row r="16" ht="15" customHeight="1" s="20">
      <c r="A16" s="29" t="inlineStr">
        <is>
          <t>D-A2-03</t>
        </is>
      </c>
      <c r="B16" s="29">
        <f>INDEX(Exigences!$C:$C,MATCH(A16,Exigences!$A:$A,0))</f>
        <v/>
      </c>
      <c r="C16" s="25">
        <f>INDEX(Exigences!$D:$D,MATCH(A16,Exigences!$A:$A,0))</f>
        <v/>
      </c>
      <c r="D16" s="30">
        <f>IF(ISNUMBER(SEARCH(D$3,INDEX(Exigences!$E:$E,MATCH($A16,Exigences!$A:$A,0)))),"●","")</f>
        <v/>
      </c>
      <c r="E16" s="30">
        <f>IF(ISNUMBER(SEARCH(E$3,INDEX(Exigences!$E:$E,MATCH($A16,Exigences!$A:$A,0)))),"●","")</f>
        <v/>
      </c>
      <c r="F16" s="30">
        <f>IF(ISNUMBER(SEARCH(F$3,INDEX(Exigences!$E:$E,MATCH($A16,Exigences!$A:$A,0)))),"●","")</f>
        <v/>
      </c>
      <c r="G16" s="30">
        <f>IF(ISNUMBER(SEARCH(G$3,INDEX(Exigences!$E:$E,MATCH($A16,Exigences!$A:$A,0)))),"●","")</f>
        <v/>
      </c>
      <c r="H16" s="30">
        <f>IF(ISNUMBER(SEARCH(H$3,INDEX(Exigences!$E:$E,MATCH($A16,Exigences!$A:$A,0)))),"●","")</f>
        <v/>
      </c>
      <c r="I16" s="30">
        <f>IF(ISNUMBER(SEARCH(I$3,INDEX(Exigences!$E:$E,MATCH($A16,Exigences!$A:$A,0)))),"●","")</f>
        <v/>
      </c>
      <c r="J16" s="30">
        <f>IF(ISNUMBER(SEARCH(J$3,INDEX(Exigences!$E:$E,MATCH($A16,Exigences!$A:$A,0)))),"●","")</f>
        <v/>
      </c>
      <c r="K16" s="30">
        <f>IF(ISNUMBER(SEARCH(K$3,INDEX(Exigences!$E:$E,MATCH($A16,Exigences!$A:$A,0)))),"●","")</f>
        <v/>
      </c>
      <c r="L16" s="30">
        <f>IF(ISNUMBER(SEARCH(L$3,INDEX(Exigences!$E:$E,MATCH($A16,Exigences!$A:$A,0)))),"●","")</f>
        <v/>
      </c>
      <c r="M16" s="30">
        <f>IF(ISNUMBER(SEARCH(M$3,INDEX(Exigences!$E:$E,MATCH($A16,Exigences!$A:$A,0)))),"●","")</f>
        <v/>
      </c>
      <c r="N16" s="30">
        <f>IF(ISNUMBER(SEARCH(N$3,INDEX(Exigences!$E:$E,MATCH($A16,Exigences!$A:$A,0)))),"●","")</f>
        <v/>
      </c>
      <c r="O16" s="30">
        <f>IF(ISNUMBER(SEARCH(O$3,INDEX(Exigences!$E:$E,MATCH($A16,Exigences!$A:$A,0)))),"●","")</f>
        <v/>
      </c>
      <c r="P16" s="30">
        <f>IF(ISNUMBER(SEARCH(P$3,INDEX(Exigences!$E:$E,MATCH($A16,Exigences!$A:$A,0)))),"●","")</f>
        <v/>
      </c>
      <c r="Q16" s="30">
        <f>IF(ISNUMBER(SEARCH(Q$3,INDEX(Exigences!$E:$E,MATCH($A16,Exigences!$A:$A,0)))),"●","")</f>
        <v/>
      </c>
      <c r="R16" s="30">
        <f>IF(ISNUMBER(SEARCH(R$3,INDEX(Exigences!$E:$E,MATCH($A16,Exigences!$A:$A,0)))),"●","")</f>
        <v/>
      </c>
      <c r="S16" s="30">
        <f>IF(ISNUMBER(SEARCH(S$3,INDEX(Exigences!$E:$E,MATCH($A16,Exigences!$A:$A,0)))),"●","")</f>
        <v/>
      </c>
      <c r="T16" s="30">
        <f>IF(ISNUMBER(SEARCH(T$3,INDEX(Exigences!$E:$E,MATCH($A16,Exigences!$A:$A,0)))),"●","")</f>
        <v/>
      </c>
      <c r="U16" s="30">
        <f>IF(ISNUMBER(SEARCH(U$3,INDEX(Exigences!$E:$E,MATCH($A16,Exigences!$A:$A,0)))),"●","")</f>
        <v/>
      </c>
      <c r="V16" s="30">
        <f>IF(ISNUMBER(SEARCH(V$3,INDEX(Exigences!$E:$E,MATCH($A16,Exigences!$A:$A,0)))),"●","")</f>
        <v/>
      </c>
      <c r="W16" s="30">
        <f>IF(ISNUMBER(SEARCH(W$3,INDEX(Exigences!$E:$E,MATCH($A16,Exigences!$A:$A,0)))),"●","")</f>
        <v/>
      </c>
      <c r="X16" s="30">
        <f>IF(ISNUMBER(SEARCH(X$3,INDEX(Exigences!$E:$E,MATCH($A16,Exigences!$A:$A,0)))),"●","")</f>
        <v/>
      </c>
      <c r="Y16" s="30">
        <f>COUNTIF(D16:X16,"●")</f>
        <v/>
      </c>
    </row>
    <row r="17" ht="15" customHeight="1" s="20">
      <c r="A17" s="29" t="inlineStr">
        <is>
          <t>D-A2-04</t>
        </is>
      </c>
      <c r="B17" s="29">
        <f>INDEX(Exigences!$C:$C,MATCH(A17,Exigences!$A:$A,0))</f>
        <v/>
      </c>
      <c r="C17" s="25">
        <f>INDEX(Exigences!$D:$D,MATCH(A17,Exigences!$A:$A,0))</f>
        <v/>
      </c>
      <c r="D17" s="30">
        <f>IF(ISNUMBER(SEARCH(D$3,INDEX(Exigences!$E:$E,MATCH($A17,Exigences!$A:$A,0)))),"●","")</f>
        <v/>
      </c>
      <c r="E17" s="30">
        <f>IF(ISNUMBER(SEARCH(E$3,INDEX(Exigences!$E:$E,MATCH($A17,Exigences!$A:$A,0)))),"●","")</f>
        <v/>
      </c>
      <c r="F17" s="30">
        <f>IF(ISNUMBER(SEARCH(F$3,INDEX(Exigences!$E:$E,MATCH($A17,Exigences!$A:$A,0)))),"●","")</f>
        <v/>
      </c>
      <c r="G17" s="30">
        <f>IF(ISNUMBER(SEARCH(G$3,INDEX(Exigences!$E:$E,MATCH($A17,Exigences!$A:$A,0)))),"●","")</f>
        <v/>
      </c>
      <c r="H17" s="30">
        <f>IF(ISNUMBER(SEARCH(H$3,INDEX(Exigences!$E:$E,MATCH($A17,Exigences!$A:$A,0)))),"●","")</f>
        <v/>
      </c>
      <c r="I17" s="30">
        <f>IF(ISNUMBER(SEARCH(I$3,INDEX(Exigences!$E:$E,MATCH($A17,Exigences!$A:$A,0)))),"●","")</f>
        <v/>
      </c>
      <c r="J17" s="30">
        <f>IF(ISNUMBER(SEARCH(J$3,INDEX(Exigences!$E:$E,MATCH($A17,Exigences!$A:$A,0)))),"●","")</f>
        <v/>
      </c>
      <c r="K17" s="30">
        <f>IF(ISNUMBER(SEARCH(K$3,INDEX(Exigences!$E:$E,MATCH($A17,Exigences!$A:$A,0)))),"●","")</f>
        <v/>
      </c>
      <c r="L17" s="30">
        <f>IF(ISNUMBER(SEARCH(L$3,INDEX(Exigences!$E:$E,MATCH($A17,Exigences!$A:$A,0)))),"●","")</f>
        <v/>
      </c>
      <c r="M17" s="30">
        <f>IF(ISNUMBER(SEARCH(M$3,INDEX(Exigences!$E:$E,MATCH($A17,Exigences!$A:$A,0)))),"●","")</f>
        <v/>
      </c>
      <c r="N17" s="30">
        <f>IF(ISNUMBER(SEARCH(N$3,INDEX(Exigences!$E:$E,MATCH($A17,Exigences!$A:$A,0)))),"●","")</f>
        <v/>
      </c>
      <c r="O17" s="30">
        <f>IF(ISNUMBER(SEARCH(O$3,INDEX(Exigences!$E:$E,MATCH($A17,Exigences!$A:$A,0)))),"●","")</f>
        <v/>
      </c>
      <c r="P17" s="30">
        <f>IF(ISNUMBER(SEARCH(P$3,INDEX(Exigences!$E:$E,MATCH($A17,Exigences!$A:$A,0)))),"●","")</f>
        <v/>
      </c>
      <c r="Q17" s="30">
        <f>IF(ISNUMBER(SEARCH(Q$3,INDEX(Exigences!$E:$E,MATCH($A17,Exigences!$A:$A,0)))),"●","")</f>
        <v/>
      </c>
      <c r="R17" s="30">
        <f>IF(ISNUMBER(SEARCH(R$3,INDEX(Exigences!$E:$E,MATCH($A17,Exigences!$A:$A,0)))),"●","")</f>
        <v/>
      </c>
      <c r="S17" s="30">
        <f>IF(ISNUMBER(SEARCH(S$3,INDEX(Exigences!$E:$E,MATCH($A17,Exigences!$A:$A,0)))),"●","")</f>
        <v/>
      </c>
      <c r="T17" s="30">
        <f>IF(ISNUMBER(SEARCH(T$3,INDEX(Exigences!$E:$E,MATCH($A17,Exigences!$A:$A,0)))),"●","")</f>
        <v/>
      </c>
      <c r="U17" s="30">
        <f>IF(ISNUMBER(SEARCH(U$3,INDEX(Exigences!$E:$E,MATCH($A17,Exigences!$A:$A,0)))),"●","")</f>
        <v/>
      </c>
      <c r="V17" s="30">
        <f>IF(ISNUMBER(SEARCH(V$3,INDEX(Exigences!$E:$E,MATCH($A17,Exigences!$A:$A,0)))),"●","")</f>
        <v/>
      </c>
      <c r="W17" s="30">
        <f>IF(ISNUMBER(SEARCH(W$3,INDEX(Exigences!$E:$E,MATCH($A17,Exigences!$A:$A,0)))),"●","")</f>
        <v/>
      </c>
      <c r="X17" s="30">
        <f>IF(ISNUMBER(SEARCH(X$3,INDEX(Exigences!$E:$E,MATCH($A17,Exigences!$A:$A,0)))),"●","")</f>
        <v/>
      </c>
      <c r="Y17" s="30">
        <f>COUNTIF(D17:X17,"●")</f>
        <v/>
      </c>
    </row>
    <row r="18" ht="15" customHeight="1" s="20">
      <c r="A18" s="29" t="inlineStr">
        <is>
          <t>D-A2-05</t>
        </is>
      </c>
      <c r="B18" s="29">
        <f>INDEX(Exigences!$C:$C,MATCH(A18,Exigences!$A:$A,0))</f>
        <v/>
      </c>
      <c r="C18" s="25">
        <f>INDEX(Exigences!$D:$D,MATCH(A18,Exigences!$A:$A,0))</f>
        <v/>
      </c>
      <c r="D18" s="30">
        <f>IF(ISNUMBER(SEARCH(D$3,INDEX(Exigences!$E:$E,MATCH($A18,Exigences!$A:$A,0)))),"●","")</f>
        <v/>
      </c>
      <c r="E18" s="30">
        <f>IF(ISNUMBER(SEARCH(E$3,INDEX(Exigences!$E:$E,MATCH($A18,Exigences!$A:$A,0)))),"●","")</f>
        <v/>
      </c>
      <c r="F18" s="30">
        <f>IF(ISNUMBER(SEARCH(F$3,INDEX(Exigences!$E:$E,MATCH($A18,Exigences!$A:$A,0)))),"●","")</f>
        <v/>
      </c>
      <c r="G18" s="30">
        <f>IF(ISNUMBER(SEARCH(G$3,INDEX(Exigences!$E:$E,MATCH($A18,Exigences!$A:$A,0)))),"●","")</f>
        <v/>
      </c>
      <c r="H18" s="30">
        <f>IF(ISNUMBER(SEARCH(H$3,INDEX(Exigences!$E:$E,MATCH($A18,Exigences!$A:$A,0)))),"●","")</f>
        <v/>
      </c>
      <c r="I18" s="30">
        <f>IF(ISNUMBER(SEARCH(I$3,INDEX(Exigences!$E:$E,MATCH($A18,Exigences!$A:$A,0)))),"●","")</f>
        <v/>
      </c>
      <c r="J18" s="30">
        <f>IF(ISNUMBER(SEARCH(J$3,INDEX(Exigences!$E:$E,MATCH($A18,Exigences!$A:$A,0)))),"●","")</f>
        <v/>
      </c>
      <c r="K18" s="30">
        <f>IF(ISNUMBER(SEARCH(K$3,INDEX(Exigences!$E:$E,MATCH($A18,Exigences!$A:$A,0)))),"●","")</f>
        <v/>
      </c>
      <c r="L18" s="30">
        <f>IF(ISNUMBER(SEARCH(L$3,INDEX(Exigences!$E:$E,MATCH($A18,Exigences!$A:$A,0)))),"●","")</f>
        <v/>
      </c>
      <c r="M18" s="30">
        <f>IF(ISNUMBER(SEARCH(M$3,INDEX(Exigences!$E:$E,MATCH($A18,Exigences!$A:$A,0)))),"●","")</f>
        <v/>
      </c>
      <c r="N18" s="30">
        <f>IF(ISNUMBER(SEARCH(N$3,INDEX(Exigences!$E:$E,MATCH($A18,Exigences!$A:$A,0)))),"●","")</f>
        <v/>
      </c>
      <c r="O18" s="30">
        <f>IF(ISNUMBER(SEARCH(O$3,INDEX(Exigences!$E:$E,MATCH($A18,Exigences!$A:$A,0)))),"●","")</f>
        <v/>
      </c>
      <c r="P18" s="30">
        <f>IF(ISNUMBER(SEARCH(P$3,INDEX(Exigences!$E:$E,MATCH($A18,Exigences!$A:$A,0)))),"●","")</f>
        <v/>
      </c>
      <c r="Q18" s="30">
        <f>IF(ISNUMBER(SEARCH(Q$3,INDEX(Exigences!$E:$E,MATCH($A18,Exigences!$A:$A,0)))),"●","")</f>
        <v/>
      </c>
      <c r="R18" s="30">
        <f>IF(ISNUMBER(SEARCH(R$3,INDEX(Exigences!$E:$E,MATCH($A18,Exigences!$A:$A,0)))),"●","")</f>
        <v/>
      </c>
      <c r="S18" s="30">
        <f>IF(ISNUMBER(SEARCH(S$3,INDEX(Exigences!$E:$E,MATCH($A18,Exigences!$A:$A,0)))),"●","")</f>
        <v/>
      </c>
      <c r="T18" s="30">
        <f>IF(ISNUMBER(SEARCH(T$3,INDEX(Exigences!$E:$E,MATCH($A18,Exigences!$A:$A,0)))),"●","")</f>
        <v/>
      </c>
      <c r="U18" s="30">
        <f>IF(ISNUMBER(SEARCH(U$3,INDEX(Exigences!$E:$E,MATCH($A18,Exigences!$A:$A,0)))),"●","")</f>
        <v/>
      </c>
      <c r="V18" s="30">
        <f>IF(ISNUMBER(SEARCH(V$3,INDEX(Exigences!$E:$E,MATCH($A18,Exigences!$A:$A,0)))),"●","")</f>
        <v/>
      </c>
      <c r="W18" s="30">
        <f>IF(ISNUMBER(SEARCH(W$3,INDEX(Exigences!$E:$E,MATCH($A18,Exigences!$A:$A,0)))),"●","")</f>
        <v/>
      </c>
      <c r="X18" s="30">
        <f>IF(ISNUMBER(SEARCH(X$3,INDEX(Exigences!$E:$E,MATCH($A18,Exigences!$A:$A,0)))),"●","")</f>
        <v/>
      </c>
      <c r="Y18" s="30">
        <f>COUNTIF(D18:X18,"●")</f>
        <v/>
      </c>
    </row>
    <row r="19" ht="15" customHeight="1" s="20">
      <c r="A19" s="29" t="inlineStr">
        <is>
          <t>D-A2-06</t>
        </is>
      </c>
      <c r="B19" s="29">
        <f>INDEX(Exigences!$C:$C,MATCH(A19,Exigences!$A:$A,0))</f>
        <v/>
      </c>
      <c r="C19" s="25">
        <f>INDEX(Exigences!$D:$D,MATCH(A19,Exigences!$A:$A,0))</f>
        <v/>
      </c>
      <c r="D19" s="30">
        <f>IF(ISNUMBER(SEARCH(D$3,INDEX(Exigences!$E:$E,MATCH($A19,Exigences!$A:$A,0)))),"●","")</f>
        <v/>
      </c>
      <c r="E19" s="30">
        <f>IF(ISNUMBER(SEARCH(E$3,INDEX(Exigences!$E:$E,MATCH($A19,Exigences!$A:$A,0)))),"●","")</f>
        <v/>
      </c>
      <c r="F19" s="30">
        <f>IF(ISNUMBER(SEARCH(F$3,INDEX(Exigences!$E:$E,MATCH($A19,Exigences!$A:$A,0)))),"●","")</f>
        <v/>
      </c>
      <c r="G19" s="30">
        <f>IF(ISNUMBER(SEARCH(G$3,INDEX(Exigences!$E:$E,MATCH($A19,Exigences!$A:$A,0)))),"●","")</f>
        <v/>
      </c>
      <c r="H19" s="30">
        <f>IF(ISNUMBER(SEARCH(H$3,INDEX(Exigences!$E:$E,MATCH($A19,Exigences!$A:$A,0)))),"●","")</f>
        <v/>
      </c>
      <c r="I19" s="30">
        <f>IF(ISNUMBER(SEARCH(I$3,INDEX(Exigences!$E:$E,MATCH($A19,Exigences!$A:$A,0)))),"●","")</f>
        <v/>
      </c>
      <c r="J19" s="30">
        <f>IF(ISNUMBER(SEARCH(J$3,INDEX(Exigences!$E:$E,MATCH($A19,Exigences!$A:$A,0)))),"●","")</f>
        <v/>
      </c>
      <c r="K19" s="30">
        <f>IF(ISNUMBER(SEARCH(K$3,INDEX(Exigences!$E:$E,MATCH($A19,Exigences!$A:$A,0)))),"●","")</f>
        <v/>
      </c>
      <c r="L19" s="30">
        <f>IF(ISNUMBER(SEARCH(L$3,INDEX(Exigences!$E:$E,MATCH($A19,Exigences!$A:$A,0)))),"●","")</f>
        <v/>
      </c>
      <c r="M19" s="30">
        <f>IF(ISNUMBER(SEARCH(M$3,INDEX(Exigences!$E:$E,MATCH($A19,Exigences!$A:$A,0)))),"●","")</f>
        <v/>
      </c>
      <c r="N19" s="30">
        <f>IF(ISNUMBER(SEARCH(N$3,INDEX(Exigences!$E:$E,MATCH($A19,Exigences!$A:$A,0)))),"●","")</f>
        <v/>
      </c>
      <c r="O19" s="30">
        <f>IF(ISNUMBER(SEARCH(O$3,INDEX(Exigences!$E:$E,MATCH($A19,Exigences!$A:$A,0)))),"●","")</f>
        <v/>
      </c>
      <c r="P19" s="30">
        <f>IF(ISNUMBER(SEARCH(P$3,INDEX(Exigences!$E:$E,MATCH($A19,Exigences!$A:$A,0)))),"●","")</f>
        <v/>
      </c>
      <c r="Q19" s="30">
        <f>IF(ISNUMBER(SEARCH(Q$3,INDEX(Exigences!$E:$E,MATCH($A19,Exigences!$A:$A,0)))),"●","")</f>
        <v/>
      </c>
      <c r="R19" s="30">
        <f>IF(ISNUMBER(SEARCH(R$3,INDEX(Exigences!$E:$E,MATCH($A19,Exigences!$A:$A,0)))),"●","")</f>
        <v/>
      </c>
      <c r="S19" s="30">
        <f>IF(ISNUMBER(SEARCH(S$3,INDEX(Exigences!$E:$E,MATCH($A19,Exigences!$A:$A,0)))),"●","")</f>
        <v/>
      </c>
      <c r="T19" s="30">
        <f>IF(ISNUMBER(SEARCH(T$3,INDEX(Exigences!$E:$E,MATCH($A19,Exigences!$A:$A,0)))),"●","")</f>
        <v/>
      </c>
      <c r="U19" s="30">
        <f>IF(ISNUMBER(SEARCH(U$3,INDEX(Exigences!$E:$E,MATCH($A19,Exigences!$A:$A,0)))),"●","")</f>
        <v/>
      </c>
      <c r="V19" s="30">
        <f>IF(ISNUMBER(SEARCH(V$3,INDEX(Exigences!$E:$E,MATCH($A19,Exigences!$A:$A,0)))),"●","")</f>
        <v/>
      </c>
      <c r="W19" s="30">
        <f>IF(ISNUMBER(SEARCH(W$3,INDEX(Exigences!$E:$E,MATCH($A19,Exigences!$A:$A,0)))),"●","")</f>
        <v/>
      </c>
      <c r="X19" s="30">
        <f>IF(ISNUMBER(SEARCH(X$3,INDEX(Exigences!$E:$E,MATCH($A19,Exigences!$A:$A,0)))),"●","")</f>
        <v/>
      </c>
      <c r="Y19" s="30">
        <f>COUNTIF(D19:X19,"●")</f>
        <v/>
      </c>
    </row>
    <row r="20" ht="15" customHeight="1" s="20">
      <c r="A20" s="29" t="inlineStr">
        <is>
          <t>D-A2-07</t>
        </is>
      </c>
      <c r="B20" s="29">
        <f>INDEX(Exigences!$C:$C,MATCH(A20,Exigences!$A:$A,0))</f>
        <v/>
      </c>
      <c r="C20" s="25">
        <f>INDEX(Exigences!$D:$D,MATCH(A20,Exigences!$A:$A,0))</f>
        <v/>
      </c>
      <c r="D20" s="30">
        <f>IF(ISNUMBER(SEARCH(D$3,INDEX(Exigences!$E:$E,MATCH($A20,Exigences!$A:$A,0)))),"●","")</f>
        <v/>
      </c>
      <c r="E20" s="30">
        <f>IF(ISNUMBER(SEARCH(E$3,INDEX(Exigences!$E:$E,MATCH($A20,Exigences!$A:$A,0)))),"●","")</f>
        <v/>
      </c>
      <c r="F20" s="30">
        <f>IF(ISNUMBER(SEARCH(F$3,INDEX(Exigences!$E:$E,MATCH($A20,Exigences!$A:$A,0)))),"●","")</f>
        <v/>
      </c>
      <c r="G20" s="30">
        <f>IF(ISNUMBER(SEARCH(G$3,INDEX(Exigences!$E:$E,MATCH($A20,Exigences!$A:$A,0)))),"●","")</f>
        <v/>
      </c>
      <c r="H20" s="30">
        <f>IF(ISNUMBER(SEARCH(H$3,INDEX(Exigences!$E:$E,MATCH($A20,Exigences!$A:$A,0)))),"●","")</f>
        <v/>
      </c>
      <c r="I20" s="30">
        <f>IF(ISNUMBER(SEARCH(I$3,INDEX(Exigences!$E:$E,MATCH($A20,Exigences!$A:$A,0)))),"●","")</f>
        <v/>
      </c>
      <c r="J20" s="30">
        <f>IF(ISNUMBER(SEARCH(J$3,INDEX(Exigences!$E:$E,MATCH($A20,Exigences!$A:$A,0)))),"●","")</f>
        <v/>
      </c>
      <c r="K20" s="30">
        <f>IF(ISNUMBER(SEARCH(K$3,INDEX(Exigences!$E:$E,MATCH($A20,Exigences!$A:$A,0)))),"●","")</f>
        <v/>
      </c>
      <c r="L20" s="30">
        <f>IF(ISNUMBER(SEARCH(L$3,INDEX(Exigences!$E:$E,MATCH($A20,Exigences!$A:$A,0)))),"●","")</f>
        <v/>
      </c>
      <c r="M20" s="30">
        <f>IF(ISNUMBER(SEARCH(M$3,INDEX(Exigences!$E:$E,MATCH($A20,Exigences!$A:$A,0)))),"●","")</f>
        <v/>
      </c>
      <c r="N20" s="30">
        <f>IF(ISNUMBER(SEARCH(N$3,INDEX(Exigences!$E:$E,MATCH($A20,Exigences!$A:$A,0)))),"●","")</f>
        <v/>
      </c>
      <c r="O20" s="30">
        <f>IF(ISNUMBER(SEARCH(O$3,INDEX(Exigences!$E:$E,MATCH($A20,Exigences!$A:$A,0)))),"●","")</f>
        <v/>
      </c>
      <c r="P20" s="30">
        <f>IF(ISNUMBER(SEARCH(P$3,INDEX(Exigences!$E:$E,MATCH($A20,Exigences!$A:$A,0)))),"●","")</f>
        <v/>
      </c>
      <c r="Q20" s="30">
        <f>IF(ISNUMBER(SEARCH(Q$3,INDEX(Exigences!$E:$E,MATCH($A20,Exigences!$A:$A,0)))),"●","")</f>
        <v/>
      </c>
      <c r="R20" s="30">
        <f>IF(ISNUMBER(SEARCH(R$3,INDEX(Exigences!$E:$E,MATCH($A20,Exigences!$A:$A,0)))),"●","")</f>
        <v/>
      </c>
      <c r="S20" s="30">
        <f>IF(ISNUMBER(SEARCH(S$3,INDEX(Exigences!$E:$E,MATCH($A20,Exigences!$A:$A,0)))),"●","")</f>
        <v/>
      </c>
      <c r="T20" s="30">
        <f>IF(ISNUMBER(SEARCH(T$3,INDEX(Exigences!$E:$E,MATCH($A20,Exigences!$A:$A,0)))),"●","")</f>
        <v/>
      </c>
      <c r="U20" s="30">
        <f>IF(ISNUMBER(SEARCH(U$3,INDEX(Exigences!$E:$E,MATCH($A20,Exigences!$A:$A,0)))),"●","")</f>
        <v/>
      </c>
      <c r="V20" s="30">
        <f>IF(ISNUMBER(SEARCH(V$3,INDEX(Exigences!$E:$E,MATCH($A20,Exigences!$A:$A,0)))),"●","")</f>
        <v/>
      </c>
      <c r="W20" s="30">
        <f>IF(ISNUMBER(SEARCH(W$3,INDEX(Exigences!$E:$E,MATCH($A20,Exigences!$A:$A,0)))),"●","")</f>
        <v/>
      </c>
      <c r="X20" s="30">
        <f>IF(ISNUMBER(SEARCH(X$3,INDEX(Exigences!$E:$E,MATCH($A20,Exigences!$A:$A,0)))),"●","")</f>
        <v/>
      </c>
      <c r="Y20" s="30">
        <f>COUNTIF(D20:X20,"●")</f>
        <v/>
      </c>
    </row>
    <row r="21" ht="15" customHeight="1" s="20">
      <c r="A21" s="29" t="inlineStr">
        <is>
          <t>D-A2-08</t>
        </is>
      </c>
      <c r="B21" s="29">
        <f>INDEX(Exigences!$C:$C,MATCH(A21,Exigences!$A:$A,0))</f>
        <v/>
      </c>
      <c r="C21" s="25">
        <f>INDEX(Exigences!$D:$D,MATCH(A21,Exigences!$A:$A,0))</f>
        <v/>
      </c>
      <c r="D21" s="30">
        <f>IF(ISNUMBER(SEARCH(D$3,INDEX(Exigences!$E:$E,MATCH($A21,Exigences!$A:$A,0)))),"●","")</f>
        <v/>
      </c>
      <c r="E21" s="30">
        <f>IF(ISNUMBER(SEARCH(E$3,INDEX(Exigences!$E:$E,MATCH($A21,Exigences!$A:$A,0)))),"●","")</f>
        <v/>
      </c>
      <c r="F21" s="30">
        <f>IF(ISNUMBER(SEARCH(F$3,INDEX(Exigences!$E:$E,MATCH($A21,Exigences!$A:$A,0)))),"●","")</f>
        <v/>
      </c>
      <c r="G21" s="30">
        <f>IF(ISNUMBER(SEARCH(G$3,INDEX(Exigences!$E:$E,MATCH($A21,Exigences!$A:$A,0)))),"●","")</f>
        <v/>
      </c>
      <c r="H21" s="30">
        <f>IF(ISNUMBER(SEARCH(H$3,INDEX(Exigences!$E:$E,MATCH($A21,Exigences!$A:$A,0)))),"●","")</f>
        <v/>
      </c>
      <c r="I21" s="30">
        <f>IF(ISNUMBER(SEARCH(I$3,INDEX(Exigences!$E:$E,MATCH($A21,Exigences!$A:$A,0)))),"●","")</f>
        <v/>
      </c>
      <c r="J21" s="30">
        <f>IF(ISNUMBER(SEARCH(J$3,INDEX(Exigences!$E:$E,MATCH($A21,Exigences!$A:$A,0)))),"●","")</f>
        <v/>
      </c>
      <c r="K21" s="30">
        <f>IF(ISNUMBER(SEARCH(K$3,INDEX(Exigences!$E:$E,MATCH($A21,Exigences!$A:$A,0)))),"●","")</f>
        <v/>
      </c>
      <c r="L21" s="30">
        <f>IF(ISNUMBER(SEARCH(L$3,INDEX(Exigences!$E:$E,MATCH($A21,Exigences!$A:$A,0)))),"●","")</f>
        <v/>
      </c>
      <c r="M21" s="30">
        <f>IF(ISNUMBER(SEARCH(M$3,INDEX(Exigences!$E:$E,MATCH($A21,Exigences!$A:$A,0)))),"●","")</f>
        <v/>
      </c>
      <c r="N21" s="30">
        <f>IF(ISNUMBER(SEARCH(N$3,INDEX(Exigences!$E:$E,MATCH($A21,Exigences!$A:$A,0)))),"●","")</f>
        <v/>
      </c>
      <c r="O21" s="30">
        <f>IF(ISNUMBER(SEARCH(O$3,INDEX(Exigences!$E:$E,MATCH($A21,Exigences!$A:$A,0)))),"●","")</f>
        <v/>
      </c>
      <c r="P21" s="30">
        <f>IF(ISNUMBER(SEARCH(P$3,INDEX(Exigences!$E:$E,MATCH($A21,Exigences!$A:$A,0)))),"●","")</f>
        <v/>
      </c>
      <c r="Q21" s="30">
        <f>IF(ISNUMBER(SEARCH(Q$3,INDEX(Exigences!$E:$E,MATCH($A21,Exigences!$A:$A,0)))),"●","")</f>
        <v/>
      </c>
      <c r="R21" s="30">
        <f>IF(ISNUMBER(SEARCH(R$3,INDEX(Exigences!$E:$E,MATCH($A21,Exigences!$A:$A,0)))),"●","")</f>
        <v/>
      </c>
      <c r="S21" s="30">
        <f>IF(ISNUMBER(SEARCH(S$3,INDEX(Exigences!$E:$E,MATCH($A21,Exigences!$A:$A,0)))),"●","")</f>
        <v/>
      </c>
      <c r="T21" s="30">
        <f>IF(ISNUMBER(SEARCH(T$3,INDEX(Exigences!$E:$E,MATCH($A21,Exigences!$A:$A,0)))),"●","")</f>
        <v/>
      </c>
      <c r="U21" s="30">
        <f>IF(ISNUMBER(SEARCH(U$3,INDEX(Exigences!$E:$E,MATCH($A21,Exigences!$A:$A,0)))),"●","")</f>
        <v/>
      </c>
      <c r="V21" s="30">
        <f>IF(ISNUMBER(SEARCH(V$3,INDEX(Exigences!$E:$E,MATCH($A21,Exigences!$A:$A,0)))),"●","")</f>
        <v/>
      </c>
      <c r="W21" s="30">
        <f>IF(ISNUMBER(SEARCH(W$3,INDEX(Exigences!$E:$E,MATCH($A21,Exigences!$A:$A,0)))),"●","")</f>
        <v/>
      </c>
      <c r="X21" s="30">
        <f>IF(ISNUMBER(SEARCH(X$3,INDEX(Exigences!$E:$E,MATCH($A21,Exigences!$A:$A,0)))),"●","")</f>
        <v/>
      </c>
      <c r="Y21" s="30">
        <f>COUNTIF(D21:X21,"●")</f>
        <v/>
      </c>
    </row>
    <row r="22" ht="15" customHeight="1" s="20">
      <c r="A22" s="29" t="inlineStr">
        <is>
          <t>D-A2-09</t>
        </is>
      </c>
      <c r="B22" s="29">
        <f>INDEX(Exigences!$C:$C,MATCH(A22,Exigences!$A:$A,0))</f>
        <v/>
      </c>
      <c r="C22" s="25">
        <f>INDEX(Exigences!$D:$D,MATCH(A22,Exigences!$A:$A,0))</f>
        <v/>
      </c>
      <c r="D22" s="30">
        <f>IF(ISNUMBER(SEARCH(D$3,INDEX(Exigences!$E:$E,MATCH($A22,Exigences!$A:$A,0)))),"●","")</f>
        <v/>
      </c>
      <c r="E22" s="30">
        <f>IF(ISNUMBER(SEARCH(E$3,INDEX(Exigences!$E:$E,MATCH($A22,Exigences!$A:$A,0)))),"●","")</f>
        <v/>
      </c>
      <c r="F22" s="30">
        <f>IF(ISNUMBER(SEARCH(F$3,INDEX(Exigences!$E:$E,MATCH($A22,Exigences!$A:$A,0)))),"●","")</f>
        <v/>
      </c>
      <c r="G22" s="30">
        <f>IF(ISNUMBER(SEARCH(G$3,INDEX(Exigences!$E:$E,MATCH($A22,Exigences!$A:$A,0)))),"●","")</f>
        <v/>
      </c>
      <c r="H22" s="30">
        <f>IF(ISNUMBER(SEARCH(H$3,INDEX(Exigences!$E:$E,MATCH($A22,Exigences!$A:$A,0)))),"●","")</f>
        <v/>
      </c>
      <c r="I22" s="30">
        <f>IF(ISNUMBER(SEARCH(I$3,INDEX(Exigences!$E:$E,MATCH($A22,Exigences!$A:$A,0)))),"●","")</f>
        <v/>
      </c>
      <c r="J22" s="30">
        <f>IF(ISNUMBER(SEARCH(J$3,INDEX(Exigences!$E:$E,MATCH($A22,Exigences!$A:$A,0)))),"●","")</f>
        <v/>
      </c>
      <c r="K22" s="30">
        <f>IF(ISNUMBER(SEARCH(K$3,INDEX(Exigences!$E:$E,MATCH($A22,Exigences!$A:$A,0)))),"●","")</f>
        <v/>
      </c>
      <c r="L22" s="30">
        <f>IF(ISNUMBER(SEARCH(L$3,INDEX(Exigences!$E:$E,MATCH($A22,Exigences!$A:$A,0)))),"●","")</f>
        <v/>
      </c>
      <c r="M22" s="30">
        <f>IF(ISNUMBER(SEARCH(M$3,INDEX(Exigences!$E:$E,MATCH($A22,Exigences!$A:$A,0)))),"●","")</f>
        <v/>
      </c>
      <c r="N22" s="30">
        <f>IF(ISNUMBER(SEARCH(N$3,INDEX(Exigences!$E:$E,MATCH($A22,Exigences!$A:$A,0)))),"●","")</f>
        <v/>
      </c>
      <c r="O22" s="30">
        <f>IF(ISNUMBER(SEARCH(O$3,INDEX(Exigences!$E:$E,MATCH($A22,Exigences!$A:$A,0)))),"●","")</f>
        <v/>
      </c>
      <c r="P22" s="30">
        <f>IF(ISNUMBER(SEARCH(P$3,INDEX(Exigences!$E:$E,MATCH($A22,Exigences!$A:$A,0)))),"●","")</f>
        <v/>
      </c>
      <c r="Q22" s="30">
        <f>IF(ISNUMBER(SEARCH(Q$3,INDEX(Exigences!$E:$E,MATCH($A22,Exigences!$A:$A,0)))),"●","")</f>
        <v/>
      </c>
      <c r="R22" s="30">
        <f>IF(ISNUMBER(SEARCH(R$3,INDEX(Exigences!$E:$E,MATCH($A22,Exigences!$A:$A,0)))),"●","")</f>
        <v/>
      </c>
      <c r="S22" s="30">
        <f>IF(ISNUMBER(SEARCH(S$3,INDEX(Exigences!$E:$E,MATCH($A22,Exigences!$A:$A,0)))),"●","")</f>
        <v/>
      </c>
      <c r="T22" s="30">
        <f>IF(ISNUMBER(SEARCH(T$3,INDEX(Exigences!$E:$E,MATCH($A22,Exigences!$A:$A,0)))),"●","")</f>
        <v/>
      </c>
      <c r="U22" s="30">
        <f>IF(ISNUMBER(SEARCH(U$3,INDEX(Exigences!$E:$E,MATCH($A22,Exigences!$A:$A,0)))),"●","")</f>
        <v/>
      </c>
      <c r="V22" s="30">
        <f>IF(ISNUMBER(SEARCH(V$3,INDEX(Exigences!$E:$E,MATCH($A22,Exigences!$A:$A,0)))),"●","")</f>
        <v/>
      </c>
      <c r="W22" s="30">
        <f>IF(ISNUMBER(SEARCH(W$3,INDEX(Exigences!$E:$E,MATCH($A22,Exigences!$A:$A,0)))),"●","")</f>
        <v/>
      </c>
      <c r="X22" s="30">
        <f>IF(ISNUMBER(SEARCH(X$3,INDEX(Exigences!$E:$E,MATCH($A22,Exigences!$A:$A,0)))),"●","")</f>
        <v/>
      </c>
      <c r="Y22" s="30">
        <f>COUNTIF(D22:X22,"●")</f>
        <v/>
      </c>
    </row>
    <row r="23" ht="15" customHeight="1" s="20">
      <c r="A23" s="29" t="inlineStr">
        <is>
          <t>D-A2-10</t>
        </is>
      </c>
      <c r="B23" s="29">
        <f>INDEX(Exigences!$C:$C,MATCH(A23,Exigences!$A:$A,0))</f>
        <v/>
      </c>
      <c r="C23" s="25">
        <f>INDEX(Exigences!$D:$D,MATCH(A23,Exigences!$A:$A,0))</f>
        <v/>
      </c>
      <c r="D23" s="30">
        <f>IF(ISNUMBER(SEARCH(D$3,INDEX(Exigences!$E:$E,MATCH($A23,Exigences!$A:$A,0)))),"●","")</f>
        <v/>
      </c>
      <c r="E23" s="30">
        <f>IF(ISNUMBER(SEARCH(E$3,INDEX(Exigences!$E:$E,MATCH($A23,Exigences!$A:$A,0)))),"●","")</f>
        <v/>
      </c>
      <c r="F23" s="30">
        <f>IF(ISNUMBER(SEARCH(F$3,INDEX(Exigences!$E:$E,MATCH($A23,Exigences!$A:$A,0)))),"●","")</f>
        <v/>
      </c>
      <c r="G23" s="30">
        <f>IF(ISNUMBER(SEARCH(G$3,INDEX(Exigences!$E:$E,MATCH($A23,Exigences!$A:$A,0)))),"●","")</f>
        <v/>
      </c>
      <c r="H23" s="30">
        <f>IF(ISNUMBER(SEARCH(H$3,INDEX(Exigences!$E:$E,MATCH($A23,Exigences!$A:$A,0)))),"●","")</f>
        <v/>
      </c>
      <c r="I23" s="30">
        <f>IF(ISNUMBER(SEARCH(I$3,INDEX(Exigences!$E:$E,MATCH($A23,Exigences!$A:$A,0)))),"●","")</f>
        <v/>
      </c>
      <c r="J23" s="30">
        <f>IF(ISNUMBER(SEARCH(J$3,INDEX(Exigences!$E:$E,MATCH($A23,Exigences!$A:$A,0)))),"●","")</f>
        <v/>
      </c>
      <c r="K23" s="30">
        <f>IF(ISNUMBER(SEARCH(K$3,INDEX(Exigences!$E:$E,MATCH($A23,Exigences!$A:$A,0)))),"●","")</f>
        <v/>
      </c>
      <c r="L23" s="30">
        <f>IF(ISNUMBER(SEARCH(L$3,INDEX(Exigences!$E:$E,MATCH($A23,Exigences!$A:$A,0)))),"●","")</f>
        <v/>
      </c>
      <c r="M23" s="30">
        <f>IF(ISNUMBER(SEARCH(M$3,INDEX(Exigences!$E:$E,MATCH($A23,Exigences!$A:$A,0)))),"●","")</f>
        <v/>
      </c>
      <c r="N23" s="30">
        <f>IF(ISNUMBER(SEARCH(N$3,INDEX(Exigences!$E:$E,MATCH($A23,Exigences!$A:$A,0)))),"●","")</f>
        <v/>
      </c>
      <c r="O23" s="30">
        <f>IF(ISNUMBER(SEARCH(O$3,INDEX(Exigences!$E:$E,MATCH($A23,Exigences!$A:$A,0)))),"●","")</f>
        <v/>
      </c>
      <c r="P23" s="30">
        <f>IF(ISNUMBER(SEARCH(P$3,INDEX(Exigences!$E:$E,MATCH($A23,Exigences!$A:$A,0)))),"●","")</f>
        <v/>
      </c>
      <c r="Q23" s="30">
        <f>IF(ISNUMBER(SEARCH(Q$3,INDEX(Exigences!$E:$E,MATCH($A23,Exigences!$A:$A,0)))),"●","")</f>
        <v/>
      </c>
      <c r="R23" s="30">
        <f>IF(ISNUMBER(SEARCH(R$3,INDEX(Exigences!$E:$E,MATCH($A23,Exigences!$A:$A,0)))),"●","")</f>
        <v/>
      </c>
      <c r="S23" s="30">
        <f>IF(ISNUMBER(SEARCH(S$3,INDEX(Exigences!$E:$E,MATCH($A23,Exigences!$A:$A,0)))),"●","")</f>
        <v/>
      </c>
      <c r="T23" s="30">
        <f>IF(ISNUMBER(SEARCH(T$3,INDEX(Exigences!$E:$E,MATCH($A23,Exigences!$A:$A,0)))),"●","")</f>
        <v/>
      </c>
      <c r="U23" s="30">
        <f>IF(ISNUMBER(SEARCH(U$3,INDEX(Exigences!$E:$E,MATCH($A23,Exigences!$A:$A,0)))),"●","")</f>
        <v/>
      </c>
      <c r="V23" s="30">
        <f>IF(ISNUMBER(SEARCH(V$3,INDEX(Exigences!$E:$E,MATCH($A23,Exigences!$A:$A,0)))),"●","")</f>
        <v/>
      </c>
      <c r="W23" s="30">
        <f>IF(ISNUMBER(SEARCH(W$3,INDEX(Exigences!$E:$E,MATCH($A23,Exigences!$A:$A,0)))),"●","")</f>
        <v/>
      </c>
      <c r="X23" s="30">
        <f>IF(ISNUMBER(SEARCH(X$3,INDEX(Exigences!$E:$E,MATCH($A23,Exigences!$A:$A,0)))),"●","")</f>
        <v/>
      </c>
      <c r="Y23" s="30">
        <f>COUNTIF(D23:X23,"●")</f>
        <v/>
      </c>
    </row>
    <row r="24" ht="15" customHeight="1" s="20">
      <c r="A24" s="29" t="inlineStr">
        <is>
          <t>D-A3-01</t>
        </is>
      </c>
      <c r="B24" s="29">
        <f>INDEX(Exigences!$C:$C,MATCH(A24,Exigences!$A:$A,0))</f>
        <v/>
      </c>
      <c r="C24" s="25">
        <f>INDEX(Exigences!$D:$D,MATCH(A24,Exigences!$A:$A,0))</f>
        <v/>
      </c>
      <c r="D24" s="30">
        <f>IF(ISNUMBER(SEARCH(D$3,INDEX(Exigences!$E:$E,MATCH($A24,Exigences!$A:$A,0)))),"●","")</f>
        <v/>
      </c>
      <c r="E24" s="30">
        <f>IF(ISNUMBER(SEARCH(E$3,INDEX(Exigences!$E:$E,MATCH($A24,Exigences!$A:$A,0)))),"●","")</f>
        <v/>
      </c>
      <c r="F24" s="30">
        <f>IF(ISNUMBER(SEARCH(F$3,INDEX(Exigences!$E:$E,MATCH($A24,Exigences!$A:$A,0)))),"●","")</f>
        <v/>
      </c>
      <c r="G24" s="30">
        <f>IF(ISNUMBER(SEARCH(G$3,INDEX(Exigences!$E:$E,MATCH($A24,Exigences!$A:$A,0)))),"●","")</f>
        <v/>
      </c>
      <c r="H24" s="30">
        <f>IF(ISNUMBER(SEARCH(H$3,INDEX(Exigences!$E:$E,MATCH($A24,Exigences!$A:$A,0)))),"●","")</f>
        <v/>
      </c>
      <c r="I24" s="30">
        <f>IF(ISNUMBER(SEARCH(I$3,INDEX(Exigences!$E:$E,MATCH($A24,Exigences!$A:$A,0)))),"●","")</f>
        <v/>
      </c>
      <c r="J24" s="30">
        <f>IF(ISNUMBER(SEARCH(J$3,INDEX(Exigences!$E:$E,MATCH($A24,Exigences!$A:$A,0)))),"●","")</f>
        <v/>
      </c>
      <c r="K24" s="30">
        <f>IF(ISNUMBER(SEARCH(K$3,INDEX(Exigences!$E:$E,MATCH($A24,Exigences!$A:$A,0)))),"●","")</f>
        <v/>
      </c>
      <c r="L24" s="30">
        <f>IF(ISNUMBER(SEARCH(L$3,INDEX(Exigences!$E:$E,MATCH($A24,Exigences!$A:$A,0)))),"●","")</f>
        <v/>
      </c>
      <c r="M24" s="30">
        <f>IF(ISNUMBER(SEARCH(M$3,INDEX(Exigences!$E:$E,MATCH($A24,Exigences!$A:$A,0)))),"●","")</f>
        <v/>
      </c>
      <c r="N24" s="30">
        <f>IF(ISNUMBER(SEARCH(N$3,INDEX(Exigences!$E:$E,MATCH($A24,Exigences!$A:$A,0)))),"●","")</f>
        <v/>
      </c>
      <c r="O24" s="30">
        <f>IF(ISNUMBER(SEARCH(O$3,INDEX(Exigences!$E:$E,MATCH($A24,Exigences!$A:$A,0)))),"●","")</f>
        <v/>
      </c>
      <c r="P24" s="30">
        <f>IF(ISNUMBER(SEARCH(P$3,INDEX(Exigences!$E:$E,MATCH($A24,Exigences!$A:$A,0)))),"●","")</f>
        <v/>
      </c>
      <c r="Q24" s="30">
        <f>IF(ISNUMBER(SEARCH(Q$3,INDEX(Exigences!$E:$E,MATCH($A24,Exigences!$A:$A,0)))),"●","")</f>
        <v/>
      </c>
      <c r="R24" s="30">
        <f>IF(ISNUMBER(SEARCH(R$3,INDEX(Exigences!$E:$E,MATCH($A24,Exigences!$A:$A,0)))),"●","")</f>
        <v/>
      </c>
      <c r="S24" s="30">
        <f>IF(ISNUMBER(SEARCH(S$3,INDEX(Exigences!$E:$E,MATCH($A24,Exigences!$A:$A,0)))),"●","")</f>
        <v/>
      </c>
      <c r="T24" s="30">
        <f>IF(ISNUMBER(SEARCH(T$3,INDEX(Exigences!$E:$E,MATCH($A24,Exigences!$A:$A,0)))),"●","")</f>
        <v/>
      </c>
      <c r="U24" s="30">
        <f>IF(ISNUMBER(SEARCH(U$3,INDEX(Exigences!$E:$E,MATCH($A24,Exigences!$A:$A,0)))),"●","")</f>
        <v/>
      </c>
      <c r="V24" s="30">
        <f>IF(ISNUMBER(SEARCH(V$3,INDEX(Exigences!$E:$E,MATCH($A24,Exigences!$A:$A,0)))),"●","")</f>
        <v/>
      </c>
      <c r="W24" s="30">
        <f>IF(ISNUMBER(SEARCH(W$3,INDEX(Exigences!$E:$E,MATCH($A24,Exigences!$A:$A,0)))),"●","")</f>
        <v/>
      </c>
      <c r="X24" s="30">
        <f>IF(ISNUMBER(SEARCH(X$3,INDEX(Exigences!$E:$E,MATCH($A24,Exigences!$A:$A,0)))),"●","")</f>
        <v/>
      </c>
      <c r="Y24" s="30">
        <f>COUNTIF(D24:X24,"●")</f>
        <v/>
      </c>
    </row>
    <row r="25" ht="15" customHeight="1" s="20">
      <c r="A25" s="29" t="inlineStr">
        <is>
          <t>D-A3-02</t>
        </is>
      </c>
      <c r="B25" s="29">
        <f>INDEX(Exigences!$C:$C,MATCH(A25,Exigences!$A:$A,0))</f>
        <v/>
      </c>
      <c r="C25" s="25">
        <f>INDEX(Exigences!$D:$D,MATCH(A25,Exigences!$A:$A,0))</f>
        <v/>
      </c>
      <c r="D25" s="30">
        <f>IF(ISNUMBER(SEARCH(D$3,INDEX(Exigences!$E:$E,MATCH($A25,Exigences!$A:$A,0)))),"●","")</f>
        <v/>
      </c>
      <c r="E25" s="30">
        <f>IF(ISNUMBER(SEARCH(E$3,INDEX(Exigences!$E:$E,MATCH($A25,Exigences!$A:$A,0)))),"●","")</f>
        <v/>
      </c>
      <c r="F25" s="30">
        <f>IF(ISNUMBER(SEARCH(F$3,INDEX(Exigences!$E:$E,MATCH($A25,Exigences!$A:$A,0)))),"●","")</f>
        <v/>
      </c>
      <c r="G25" s="30">
        <f>IF(ISNUMBER(SEARCH(G$3,INDEX(Exigences!$E:$E,MATCH($A25,Exigences!$A:$A,0)))),"●","")</f>
        <v/>
      </c>
      <c r="H25" s="30">
        <f>IF(ISNUMBER(SEARCH(H$3,INDEX(Exigences!$E:$E,MATCH($A25,Exigences!$A:$A,0)))),"●","")</f>
        <v/>
      </c>
      <c r="I25" s="30">
        <f>IF(ISNUMBER(SEARCH(I$3,INDEX(Exigences!$E:$E,MATCH($A25,Exigences!$A:$A,0)))),"●","")</f>
        <v/>
      </c>
      <c r="J25" s="30">
        <f>IF(ISNUMBER(SEARCH(J$3,INDEX(Exigences!$E:$E,MATCH($A25,Exigences!$A:$A,0)))),"●","")</f>
        <v/>
      </c>
      <c r="K25" s="30">
        <f>IF(ISNUMBER(SEARCH(K$3,INDEX(Exigences!$E:$E,MATCH($A25,Exigences!$A:$A,0)))),"●","")</f>
        <v/>
      </c>
      <c r="L25" s="30">
        <f>IF(ISNUMBER(SEARCH(L$3,INDEX(Exigences!$E:$E,MATCH($A25,Exigences!$A:$A,0)))),"●","")</f>
        <v/>
      </c>
      <c r="M25" s="30">
        <f>IF(ISNUMBER(SEARCH(M$3,INDEX(Exigences!$E:$E,MATCH($A25,Exigences!$A:$A,0)))),"●","")</f>
        <v/>
      </c>
      <c r="N25" s="30">
        <f>IF(ISNUMBER(SEARCH(N$3,INDEX(Exigences!$E:$E,MATCH($A25,Exigences!$A:$A,0)))),"●","")</f>
        <v/>
      </c>
      <c r="O25" s="30">
        <f>IF(ISNUMBER(SEARCH(O$3,INDEX(Exigences!$E:$E,MATCH($A25,Exigences!$A:$A,0)))),"●","")</f>
        <v/>
      </c>
      <c r="P25" s="30">
        <f>IF(ISNUMBER(SEARCH(P$3,INDEX(Exigences!$E:$E,MATCH($A25,Exigences!$A:$A,0)))),"●","")</f>
        <v/>
      </c>
      <c r="Q25" s="30">
        <f>IF(ISNUMBER(SEARCH(Q$3,INDEX(Exigences!$E:$E,MATCH($A25,Exigences!$A:$A,0)))),"●","")</f>
        <v/>
      </c>
      <c r="R25" s="30">
        <f>IF(ISNUMBER(SEARCH(R$3,INDEX(Exigences!$E:$E,MATCH($A25,Exigences!$A:$A,0)))),"●","")</f>
        <v/>
      </c>
      <c r="S25" s="30">
        <f>IF(ISNUMBER(SEARCH(S$3,INDEX(Exigences!$E:$E,MATCH($A25,Exigences!$A:$A,0)))),"●","")</f>
        <v/>
      </c>
      <c r="T25" s="30">
        <f>IF(ISNUMBER(SEARCH(T$3,INDEX(Exigences!$E:$E,MATCH($A25,Exigences!$A:$A,0)))),"●","")</f>
        <v/>
      </c>
      <c r="U25" s="30">
        <f>IF(ISNUMBER(SEARCH(U$3,INDEX(Exigences!$E:$E,MATCH($A25,Exigences!$A:$A,0)))),"●","")</f>
        <v/>
      </c>
      <c r="V25" s="30">
        <f>IF(ISNUMBER(SEARCH(V$3,INDEX(Exigences!$E:$E,MATCH($A25,Exigences!$A:$A,0)))),"●","")</f>
        <v/>
      </c>
      <c r="W25" s="30">
        <f>IF(ISNUMBER(SEARCH(W$3,INDEX(Exigences!$E:$E,MATCH($A25,Exigences!$A:$A,0)))),"●","")</f>
        <v/>
      </c>
      <c r="X25" s="30">
        <f>IF(ISNUMBER(SEARCH(X$3,INDEX(Exigences!$E:$E,MATCH($A25,Exigences!$A:$A,0)))),"●","")</f>
        <v/>
      </c>
      <c r="Y25" s="30">
        <f>COUNTIF(D25:X25,"●")</f>
        <v/>
      </c>
    </row>
    <row r="26" ht="15" customHeight="1" s="20">
      <c r="A26" s="29" t="inlineStr">
        <is>
          <t>D-A3-03</t>
        </is>
      </c>
      <c r="B26" s="29">
        <f>INDEX(Exigences!$C:$C,MATCH(A26,Exigences!$A:$A,0))</f>
        <v/>
      </c>
      <c r="C26" s="25">
        <f>INDEX(Exigences!$D:$D,MATCH(A26,Exigences!$A:$A,0))</f>
        <v/>
      </c>
      <c r="D26" s="30">
        <f>IF(ISNUMBER(SEARCH(D$3,INDEX(Exigences!$E:$E,MATCH($A26,Exigences!$A:$A,0)))),"●","")</f>
        <v/>
      </c>
      <c r="E26" s="30">
        <f>IF(ISNUMBER(SEARCH(E$3,INDEX(Exigences!$E:$E,MATCH($A26,Exigences!$A:$A,0)))),"●","")</f>
        <v/>
      </c>
      <c r="F26" s="30">
        <f>IF(ISNUMBER(SEARCH(F$3,INDEX(Exigences!$E:$E,MATCH($A26,Exigences!$A:$A,0)))),"●","")</f>
        <v/>
      </c>
      <c r="G26" s="30">
        <f>IF(ISNUMBER(SEARCH(G$3,INDEX(Exigences!$E:$E,MATCH($A26,Exigences!$A:$A,0)))),"●","")</f>
        <v/>
      </c>
      <c r="H26" s="30">
        <f>IF(ISNUMBER(SEARCH(H$3,INDEX(Exigences!$E:$E,MATCH($A26,Exigences!$A:$A,0)))),"●","")</f>
        <v/>
      </c>
      <c r="I26" s="30">
        <f>IF(ISNUMBER(SEARCH(I$3,INDEX(Exigences!$E:$E,MATCH($A26,Exigences!$A:$A,0)))),"●","")</f>
        <v/>
      </c>
      <c r="J26" s="30">
        <f>IF(ISNUMBER(SEARCH(J$3,INDEX(Exigences!$E:$E,MATCH($A26,Exigences!$A:$A,0)))),"●","")</f>
        <v/>
      </c>
      <c r="K26" s="30">
        <f>IF(ISNUMBER(SEARCH(K$3,INDEX(Exigences!$E:$E,MATCH($A26,Exigences!$A:$A,0)))),"●","")</f>
        <v/>
      </c>
      <c r="L26" s="30">
        <f>IF(ISNUMBER(SEARCH(L$3,INDEX(Exigences!$E:$E,MATCH($A26,Exigences!$A:$A,0)))),"●","")</f>
        <v/>
      </c>
      <c r="M26" s="30">
        <f>IF(ISNUMBER(SEARCH(M$3,INDEX(Exigences!$E:$E,MATCH($A26,Exigences!$A:$A,0)))),"●","")</f>
        <v/>
      </c>
      <c r="N26" s="30">
        <f>IF(ISNUMBER(SEARCH(N$3,INDEX(Exigences!$E:$E,MATCH($A26,Exigences!$A:$A,0)))),"●","")</f>
        <v/>
      </c>
      <c r="O26" s="30">
        <f>IF(ISNUMBER(SEARCH(O$3,INDEX(Exigences!$E:$E,MATCH($A26,Exigences!$A:$A,0)))),"●","")</f>
        <v/>
      </c>
      <c r="P26" s="30">
        <f>IF(ISNUMBER(SEARCH(P$3,INDEX(Exigences!$E:$E,MATCH($A26,Exigences!$A:$A,0)))),"●","")</f>
        <v/>
      </c>
      <c r="Q26" s="30">
        <f>IF(ISNUMBER(SEARCH(Q$3,INDEX(Exigences!$E:$E,MATCH($A26,Exigences!$A:$A,0)))),"●","")</f>
        <v/>
      </c>
      <c r="R26" s="30">
        <f>IF(ISNUMBER(SEARCH(R$3,INDEX(Exigences!$E:$E,MATCH($A26,Exigences!$A:$A,0)))),"●","")</f>
        <v/>
      </c>
      <c r="S26" s="30">
        <f>IF(ISNUMBER(SEARCH(S$3,INDEX(Exigences!$E:$E,MATCH($A26,Exigences!$A:$A,0)))),"●","")</f>
        <v/>
      </c>
      <c r="T26" s="30">
        <f>IF(ISNUMBER(SEARCH(T$3,INDEX(Exigences!$E:$E,MATCH($A26,Exigences!$A:$A,0)))),"●","")</f>
        <v/>
      </c>
      <c r="U26" s="30">
        <f>IF(ISNUMBER(SEARCH(U$3,INDEX(Exigences!$E:$E,MATCH($A26,Exigences!$A:$A,0)))),"●","")</f>
        <v/>
      </c>
      <c r="V26" s="30">
        <f>IF(ISNUMBER(SEARCH(V$3,INDEX(Exigences!$E:$E,MATCH($A26,Exigences!$A:$A,0)))),"●","")</f>
        <v/>
      </c>
      <c r="W26" s="30">
        <f>IF(ISNUMBER(SEARCH(W$3,INDEX(Exigences!$E:$E,MATCH($A26,Exigences!$A:$A,0)))),"●","")</f>
        <v/>
      </c>
      <c r="X26" s="30">
        <f>IF(ISNUMBER(SEARCH(X$3,INDEX(Exigences!$E:$E,MATCH($A26,Exigences!$A:$A,0)))),"●","")</f>
        <v/>
      </c>
      <c r="Y26" s="30">
        <f>COUNTIF(D26:X26,"●")</f>
        <v/>
      </c>
    </row>
    <row r="27" ht="15" customHeight="1" s="20">
      <c r="A27" s="29" t="inlineStr">
        <is>
          <t>D-A3-04</t>
        </is>
      </c>
      <c r="B27" s="29">
        <f>INDEX(Exigences!$C:$C,MATCH(A27,Exigences!$A:$A,0))</f>
        <v/>
      </c>
      <c r="C27" s="25">
        <f>INDEX(Exigences!$D:$D,MATCH(A27,Exigences!$A:$A,0))</f>
        <v/>
      </c>
      <c r="D27" s="30">
        <f>IF(ISNUMBER(SEARCH(D$3,INDEX(Exigences!$E:$E,MATCH($A27,Exigences!$A:$A,0)))),"●","")</f>
        <v/>
      </c>
      <c r="E27" s="30">
        <f>IF(ISNUMBER(SEARCH(E$3,INDEX(Exigences!$E:$E,MATCH($A27,Exigences!$A:$A,0)))),"●","")</f>
        <v/>
      </c>
      <c r="F27" s="30">
        <f>IF(ISNUMBER(SEARCH(F$3,INDEX(Exigences!$E:$E,MATCH($A27,Exigences!$A:$A,0)))),"●","")</f>
        <v/>
      </c>
      <c r="G27" s="30">
        <f>IF(ISNUMBER(SEARCH(G$3,INDEX(Exigences!$E:$E,MATCH($A27,Exigences!$A:$A,0)))),"●","")</f>
        <v/>
      </c>
      <c r="H27" s="30">
        <f>IF(ISNUMBER(SEARCH(H$3,INDEX(Exigences!$E:$E,MATCH($A27,Exigences!$A:$A,0)))),"●","")</f>
        <v/>
      </c>
      <c r="I27" s="30">
        <f>IF(ISNUMBER(SEARCH(I$3,INDEX(Exigences!$E:$E,MATCH($A27,Exigences!$A:$A,0)))),"●","")</f>
        <v/>
      </c>
      <c r="J27" s="30">
        <f>IF(ISNUMBER(SEARCH(J$3,INDEX(Exigences!$E:$E,MATCH($A27,Exigences!$A:$A,0)))),"●","")</f>
        <v/>
      </c>
      <c r="K27" s="30">
        <f>IF(ISNUMBER(SEARCH(K$3,INDEX(Exigences!$E:$E,MATCH($A27,Exigences!$A:$A,0)))),"●","")</f>
        <v/>
      </c>
      <c r="L27" s="30">
        <f>IF(ISNUMBER(SEARCH(L$3,INDEX(Exigences!$E:$E,MATCH($A27,Exigences!$A:$A,0)))),"●","")</f>
        <v/>
      </c>
      <c r="M27" s="30">
        <f>IF(ISNUMBER(SEARCH(M$3,INDEX(Exigences!$E:$E,MATCH($A27,Exigences!$A:$A,0)))),"●","")</f>
        <v/>
      </c>
      <c r="N27" s="30">
        <f>IF(ISNUMBER(SEARCH(N$3,INDEX(Exigences!$E:$E,MATCH($A27,Exigences!$A:$A,0)))),"●","")</f>
        <v/>
      </c>
      <c r="O27" s="30">
        <f>IF(ISNUMBER(SEARCH(O$3,INDEX(Exigences!$E:$E,MATCH($A27,Exigences!$A:$A,0)))),"●","")</f>
        <v/>
      </c>
      <c r="P27" s="30">
        <f>IF(ISNUMBER(SEARCH(P$3,INDEX(Exigences!$E:$E,MATCH($A27,Exigences!$A:$A,0)))),"●","")</f>
        <v/>
      </c>
      <c r="Q27" s="30">
        <f>IF(ISNUMBER(SEARCH(Q$3,INDEX(Exigences!$E:$E,MATCH($A27,Exigences!$A:$A,0)))),"●","")</f>
        <v/>
      </c>
      <c r="R27" s="30">
        <f>IF(ISNUMBER(SEARCH(R$3,INDEX(Exigences!$E:$E,MATCH($A27,Exigences!$A:$A,0)))),"●","")</f>
        <v/>
      </c>
      <c r="S27" s="30">
        <f>IF(ISNUMBER(SEARCH(S$3,INDEX(Exigences!$E:$E,MATCH($A27,Exigences!$A:$A,0)))),"●","")</f>
        <v/>
      </c>
      <c r="T27" s="30">
        <f>IF(ISNUMBER(SEARCH(T$3,INDEX(Exigences!$E:$E,MATCH($A27,Exigences!$A:$A,0)))),"●","")</f>
        <v/>
      </c>
      <c r="U27" s="30">
        <f>IF(ISNUMBER(SEARCH(U$3,INDEX(Exigences!$E:$E,MATCH($A27,Exigences!$A:$A,0)))),"●","")</f>
        <v/>
      </c>
      <c r="V27" s="30">
        <f>IF(ISNUMBER(SEARCH(V$3,INDEX(Exigences!$E:$E,MATCH($A27,Exigences!$A:$A,0)))),"●","")</f>
        <v/>
      </c>
      <c r="W27" s="30">
        <f>IF(ISNUMBER(SEARCH(W$3,INDEX(Exigences!$E:$E,MATCH($A27,Exigences!$A:$A,0)))),"●","")</f>
        <v/>
      </c>
      <c r="X27" s="30">
        <f>IF(ISNUMBER(SEARCH(X$3,INDEX(Exigences!$E:$E,MATCH($A27,Exigences!$A:$A,0)))),"●","")</f>
        <v/>
      </c>
      <c r="Y27" s="30">
        <f>COUNTIF(D27:X27,"●")</f>
        <v/>
      </c>
    </row>
    <row r="28" ht="15" customHeight="1" s="20">
      <c r="A28" s="29" t="inlineStr">
        <is>
          <t>D-A3-05</t>
        </is>
      </c>
      <c r="B28" s="29">
        <f>INDEX(Exigences!$C:$C,MATCH(A28,Exigences!$A:$A,0))</f>
        <v/>
      </c>
      <c r="C28" s="25">
        <f>INDEX(Exigences!$D:$D,MATCH(A28,Exigences!$A:$A,0))</f>
        <v/>
      </c>
      <c r="D28" s="30">
        <f>IF(ISNUMBER(SEARCH(D$3,INDEX(Exigences!$E:$E,MATCH($A28,Exigences!$A:$A,0)))),"●","")</f>
        <v/>
      </c>
      <c r="E28" s="30">
        <f>IF(ISNUMBER(SEARCH(E$3,INDEX(Exigences!$E:$E,MATCH($A28,Exigences!$A:$A,0)))),"●","")</f>
        <v/>
      </c>
      <c r="F28" s="30">
        <f>IF(ISNUMBER(SEARCH(F$3,INDEX(Exigences!$E:$E,MATCH($A28,Exigences!$A:$A,0)))),"●","")</f>
        <v/>
      </c>
      <c r="G28" s="30">
        <f>IF(ISNUMBER(SEARCH(G$3,INDEX(Exigences!$E:$E,MATCH($A28,Exigences!$A:$A,0)))),"●","")</f>
        <v/>
      </c>
      <c r="H28" s="30">
        <f>IF(ISNUMBER(SEARCH(H$3,INDEX(Exigences!$E:$E,MATCH($A28,Exigences!$A:$A,0)))),"●","")</f>
        <v/>
      </c>
      <c r="I28" s="30">
        <f>IF(ISNUMBER(SEARCH(I$3,INDEX(Exigences!$E:$E,MATCH($A28,Exigences!$A:$A,0)))),"●","")</f>
        <v/>
      </c>
      <c r="J28" s="30">
        <f>IF(ISNUMBER(SEARCH(J$3,INDEX(Exigences!$E:$E,MATCH($A28,Exigences!$A:$A,0)))),"●","")</f>
        <v/>
      </c>
      <c r="K28" s="30">
        <f>IF(ISNUMBER(SEARCH(K$3,INDEX(Exigences!$E:$E,MATCH($A28,Exigences!$A:$A,0)))),"●","")</f>
        <v/>
      </c>
      <c r="L28" s="30">
        <f>IF(ISNUMBER(SEARCH(L$3,INDEX(Exigences!$E:$E,MATCH($A28,Exigences!$A:$A,0)))),"●","")</f>
        <v/>
      </c>
      <c r="M28" s="30">
        <f>IF(ISNUMBER(SEARCH(M$3,INDEX(Exigences!$E:$E,MATCH($A28,Exigences!$A:$A,0)))),"●","")</f>
        <v/>
      </c>
      <c r="N28" s="30">
        <f>IF(ISNUMBER(SEARCH(N$3,INDEX(Exigences!$E:$E,MATCH($A28,Exigences!$A:$A,0)))),"●","")</f>
        <v/>
      </c>
      <c r="O28" s="30">
        <f>IF(ISNUMBER(SEARCH(O$3,INDEX(Exigences!$E:$E,MATCH($A28,Exigences!$A:$A,0)))),"●","")</f>
        <v/>
      </c>
      <c r="P28" s="30">
        <f>IF(ISNUMBER(SEARCH(P$3,INDEX(Exigences!$E:$E,MATCH($A28,Exigences!$A:$A,0)))),"●","")</f>
        <v/>
      </c>
      <c r="Q28" s="30">
        <f>IF(ISNUMBER(SEARCH(Q$3,INDEX(Exigences!$E:$E,MATCH($A28,Exigences!$A:$A,0)))),"●","")</f>
        <v/>
      </c>
      <c r="R28" s="30">
        <f>IF(ISNUMBER(SEARCH(R$3,INDEX(Exigences!$E:$E,MATCH($A28,Exigences!$A:$A,0)))),"●","")</f>
        <v/>
      </c>
      <c r="S28" s="30">
        <f>IF(ISNUMBER(SEARCH(S$3,INDEX(Exigences!$E:$E,MATCH($A28,Exigences!$A:$A,0)))),"●","")</f>
        <v/>
      </c>
      <c r="T28" s="30">
        <f>IF(ISNUMBER(SEARCH(T$3,INDEX(Exigences!$E:$E,MATCH($A28,Exigences!$A:$A,0)))),"●","")</f>
        <v/>
      </c>
      <c r="U28" s="30">
        <f>IF(ISNUMBER(SEARCH(U$3,INDEX(Exigences!$E:$E,MATCH($A28,Exigences!$A:$A,0)))),"●","")</f>
        <v/>
      </c>
      <c r="V28" s="30">
        <f>IF(ISNUMBER(SEARCH(V$3,INDEX(Exigences!$E:$E,MATCH($A28,Exigences!$A:$A,0)))),"●","")</f>
        <v/>
      </c>
      <c r="W28" s="30">
        <f>IF(ISNUMBER(SEARCH(W$3,INDEX(Exigences!$E:$E,MATCH($A28,Exigences!$A:$A,0)))),"●","")</f>
        <v/>
      </c>
      <c r="X28" s="30">
        <f>IF(ISNUMBER(SEARCH(X$3,INDEX(Exigences!$E:$E,MATCH($A28,Exigences!$A:$A,0)))),"●","")</f>
        <v/>
      </c>
      <c r="Y28" s="30">
        <f>COUNTIF(D28:X28,"●")</f>
        <v/>
      </c>
    </row>
    <row r="29" ht="15" customHeight="1" s="20">
      <c r="A29" s="29" t="inlineStr">
        <is>
          <t>D-A3-06</t>
        </is>
      </c>
      <c r="B29" s="29">
        <f>INDEX(Exigences!$C:$C,MATCH(A29,Exigences!$A:$A,0))</f>
        <v/>
      </c>
      <c r="C29" s="25">
        <f>INDEX(Exigences!$D:$D,MATCH(A29,Exigences!$A:$A,0))</f>
        <v/>
      </c>
      <c r="D29" s="30">
        <f>IF(ISNUMBER(SEARCH(D$3,INDEX(Exigences!$E:$E,MATCH($A29,Exigences!$A:$A,0)))),"●","")</f>
        <v/>
      </c>
      <c r="E29" s="30">
        <f>IF(ISNUMBER(SEARCH(E$3,INDEX(Exigences!$E:$E,MATCH($A29,Exigences!$A:$A,0)))),"●","")</f>
        <v/>
      </c>
      <c r="F29" s="30">
        <f>IF(ISNUMBER(SEARCH(F$3,INDEX(Exigences!$E:$E,MATCH($A29,Exigences!$A:$A,0)))),"●","")</f>
        <v/>
      </c>
      <c r="G29" s="30">
        <f>IF(ISNUMBER(SEARCH(G$3,INDEX(Exigences!$E:$E,MATCH($A29,Exigences!$A:$A,0)))),"●","")</f>
        <v/>
      </c>
      <c r="H29" s="30">
        <f>IF(ISNUMBER(SEARCH(H$3,INDEX(Exigences!$E:$E,MATCH($A29,Exigences!$A:$A,0)))),"●","")</f>
        <v/>
      </c>
      <c r="I29" s="30">
        <f>IF(ISNUMBER(SEARCH(I$3,INDEX(Exigences!$E:$E,MATCH($A29,Exigences!$A:$A,0)))),"●","")</f>
        <v/>
      </c>
      <c r="J29" s="30">
        <f>IF(ISNUMBER(SEARCH(J$3,INDEX(Exigences!$E:$E,MATCH($A29,Exigences!$A:$A,0)))),"●","")</f>
        <v/>
      </c>
      <c r="K29" s="30">
        <f>IF(ISNUMBER(SEARCH(K$3,INDEX(Exigences!$E:$E,MATCH($A29,Exigences!$A:$A,0)))),"●","")</f>
        <v/>
      </c>
      <c r="L29" s="30">
        <f>IF(ISNUMBER(SEARCH(L$3,INDEX(Exigences!$E:$E,MATCH($A29,Exigences!$A:$A,0)))),"●","")</f>
        <v/>
      </c>
      <c r="M29" s="30">
        <f>IF(ISNUMBER(SEARCH(M$3,INDEX(Exigences!$E:$E,MATCH($A29,Exigences!$A:$A,0)))),"●","")</f>
        <v/>
      </c>
      <c r="N29" s="30">
        <f>IF(ISNUMBER(SEARCH(N$3,INDEX(Exigences!$E:$E,MATCH($A29,Exigences!$A:$A,0)))),"●","")</f>
        <v/>
      </c>
      <c r="O29" s="30">
        <f>IF(ISNUMBER(SEARCH(O$3,INDEX(Exigences!$E:$E,MATCH($A29,Exigences!$A:$A,0)))),"●","")</f>
        <v/>
      </c>
      <c r="P29" s="30">
        <f>IF(ISNUMBER(SEARCH(P$3,INDEX(Exigences!$E:$E,MATCH($A29,Exigences!$A:$A,0)))),"●","")</f>
        <v/>
      </c>
      <c r="Q29" s="30">
        <f>IF(ISNUMBER(SEARCH(Q$3,INDEX(Exigences!$E:$E,MATCH($A29,Exigences!$A:$A,0)))),"●","")</f>
        <v/>
      </c>
      <c r="R29" s="30">
        <f>IF(ISNUMBER(SEARCH(R$3,INDEX(Exigences!$E:$E,MATCH($A29,Exigences!$A:$A,0)))),"●","")</f>
        <v/>
      </c>
      <c r="S29" s="30">
        <f>IF(ISNUMBER(SEARCH(S$3,INDEX(Exigences!$E:$E,MATCH($A29,Exigences!$A:$A,0)))),"●","")</f>
        <v/>
      </c>
      <c r="T29" s="30">
        <f>IF(ISNUMBER(SEARCH(T$3,INDEX(Exigences!$E:$E,MATCH($A29,Exigences!$A:$A,0)))),"●","")</f>
        <v/>
      </c>
      <c r="U29" s="30">
        <f>IF(ISNUMBER(SEARCH(U$3,INDEX(Exigences!$E:$E,MATCH($A29,Exigences!$A:$A,0)))),"●","")</f>
        <v/>
      </c>
      <c r="V29" s="30">
        <f>IF(ISNUMBER(SEARCH(V$3,INDEX(Exigences!$E:$E,MATCH($A29,Exigences!$A:$A,0)))),"●","")</f>
        <v/>
      </c>
      <c r="W29" s="30">
        <f>IF(ISNUMBER(SEARCH(W$3,INDEX(Exigences!$E:$E,MATCH($A29,Exigences!$A:$A,0)))),"●","")</f>
        <v/>
      </c>
      <c r="X29" s="30">
        <f>IF(ISNUMBER(SEARCH(X$3,INDEX(Exigences!$E:$E,MATCH($A29,Exigences!$A:$A,0)))),"●","")</f>
        <v/>
      </c>
      <c r="Y29" s="30">
        <f>COUNTIF(D29:X29,"●")</f>
        <v/>
      </c>
    </row>
    <row r="30" ht="15" customHeight="1" s="20">
      <c r="A30" s="29" t="inlineStr">
        <is>
          <t>D-A3-07</t>
        </is>
      </c>
      <c r="B30" s="29">
        <f>INDEX(Exigences!$C:$C,MATCH(A30,Exigences!$A:$A,0))</f>
        <v/>
      </c>
      <c r="C30" s="25">
        <f>INDEX(Exigences!$D:$D,MATCH(A30,Exigences!$A:$A,0))</f>
        <v/>
      </c>
      <c r="D30" s="30">
        <f>IF(ISNUMBER(SEARCH(D$3,INDEX(Exigences!$E:$E,MATCH($A30,Exigences!$A:$A,0)))),"●","")</f>
        <v/>
      </c>
      <c r="E30" s="30">
        <f>IF(ISNUMBER(SEARCH(E$3,INDEX(Exigences!$E:$E,MATCH($A30,Exigences!$A:$A,0)))),"●","")</f>
        <v/>
      </c>
      <c r="F30" s="30">
        <f>IF(ISNUMBER(SEARCH(F$3,INDEX(Exigences!$E:$E,MATCH($A30,Exigences!$A:$A,0)))),"●","")</f>
        <v/>
      </c>
      <c r="G30" s="30">
        <f>IF(ISNUMBER(SEARCH(G$3,INDEX(Exigences!$E:$E,MATCH($A30,Exigences!$A:$A,0)))),"●","")</f>
        <v/>
      </c>
      <c r="H30" s="30">
        <f>IF(ISNUMBER(SEARCH(H$3,INDEX(Exigences!$E:$E,MATCH($A30,Exigences!$A:$A,0)))),"●","")</f>
        <v/>
      </c>
      <c r="I30" s="30">
        <f>IF(ISNUMBER(SEARCH(I$3,INDEX(Exigences!$E:$E,MATCH($A30,Exigences!$A:$A,0)))),"●","")</f>
        <v/>
      </c>
      <c r="J30" s="30">
        <f>IF(ISNUMBER(SEARCH(J$3,INDEX(Exigences!$E:$E,MATCH($A30,Exigences!$A:$A,0)))),"●","")</f>
        <v/>
      </c>
      <c r="K30" s="30">
        <f>IF(ISNUMBER(SEARCH(K$3,INDEX(Exigences!$E:$E,MATCH($A30,Exigences!$A:$A,0)))),"●","")</f>
        <v/>
      </c>
      <c r="L30" s="30">
        <f>IF(ISNUMBER(SEARCH(L$3,INDEX(Exigences!$E:$E,MATCH($A30,Exigences!$A:$A,0)))),"●","")</f>
        <v/>
      </c>
      <c r="M30" s="30">
        <f>IF(ISNUMBER(SEARCH(M$3,INDEX(Exigences!$E:$E,MATCH($A30,Exigences!$A:$A,0)))),"●","")</f>
        <v/>
      </c>
      <c r="N30" s="30">
        <f>IF(ISNUMBER(SEARCH(N$3,INDEX(Exigences!$E:$E,MATCH($A30,Exigences!$A:$A,0)))),"●","")</f>
        <v/>
      </c>
      <c r="O30" s="30">
        <f>IF(ISNUMBER(SEARCH(O$3,INDEX(Exigences!$E:$E,MATCH($A30,Exigences!$A:$A,0)))),"●","")</f>
        <v/>
      </c>
      <c r="P30" s="30">
        <f>IF(ISNUMBER(SEARCH(P$3,INDEX(Exigences!$E:$E,MATCH($A30,Exigences!$A:$A,0)))),"●","")</f>
        <v/>
      </c>
      <c r="Q30" s="30">
        <f>IF(ISNUMBER(SEARCH(Q$3,INDEX(Exigences!$E:$E,MATCH($A30,Exigences!$A:$A,0)))),"●","")</f>
        <v/>
      </c>
      <c r="R30" s="30">
        <f>IF(ISNUMBER(SEARCH(R$3,INDEX(Exigences!$E:$E,MATCH($A30,Exigences!$A:$A,0)))),"●","")</f>
        <v/>
      </c>
      <c r="S30" s="30">
        <f>IF(ISNUMBER(SEARCH(S$3,INDEX(Exigences!$E:$E,MATCH($A30,Exigences!$A:$A,0)))),"●","")</f>
        <v/>
      </c>
      <c r="T30" s="30">
        <f>IF(ISNUMBER(SEARCH(T$3,INDEX(Exigences!$E:$E,MATCH($A30,Exigences!$A:$A,0)))),"●","")</f>
        <v/>
      </c>
      <c r="U30" s="30">
        <f>IF(ISNUMBER(SEARCH(U$3,INDEX(Exigences!$E:$E,MATCH($A30,Exigences!$A:$A,0)))),"●","")</f>
        <v/>
      </c>
      <c r="V30" s="30">
        <f>IF(ISNUMBER(SEARCH(V$3,INDEX(Exigences!$E:$E,MATCH($A30,Exigences!$A:$A,0)))),"●","")</f>
        <v/>
      </c>
      <c r="W30" s="30">
        <f>IF(ISNUMBER(SEARCH(W$3,INDEX(Exigences!$E:$E,MATCH($A30,Exigences!$A:$A,0)))),"●","")</f>
        <v/>
      </c>
      <c r="X30" s="30">
        <f>IF(ISNUMBER(SEARCH(X$3,INDEX(Exigences!$E:$E,MATCH($A30,Exigences!$A:$A,0)))),"●","")</f>
        <v/>
      </c>
      <c r="Y30" s="30">
        <f>COUNTIF(D30:X30,"●")</f>
        <v/>
      </c>
    </row>
    <row r="31" ht="15" customHeight="1" s="20">
      <c r="A31" s="29" t="inlineStr">
        <is>
          <t>D-A3-08</t>
        </is>
      </c>
      <c r="B31" s="29">
        <f>INDEX(Exigences!$C:$C,MATCH(A31,Exigences!$A:$A,0))</f>
        <v/>
      </c>
      <c r="C31" s="25">
        <f>INDEX(Exigences!$D:$D,MATCH(A31,Exigences!$A:$A,0))</f>
        <v/>
      </c>
      <c r="D31" s="30">
        <f>IF(ISNUMBER(SEARCH(D$3,INDEX(Exigences!$E:$E,MATCH($A31,Exigences!$A:$A,0)))),"●","")</f>
        <v/>
      </c>
      <c r="E31" s="30">
        <f>IF(ISNUMBER(SEARCH(E$3,INDEX(Exigences!$E:$E,MATCH($A31,Exigences!$A:$A,0)))),"●","")</f>
        <v/>
      </c>
      <c r="F31" s="30">
        <f>IF(ISNUMBER(SEARCH(F$3,INDEX(Exigences!$E:$E,MATCH($A31,Exigences!$A:$A,0)))),"●","")</f>
        <v/>
      </c>
      <c r="G31" s="30">
        <f>IF(ISNUMBER(SEARCH(G$3,INDEX(Exigences!$E:$E,MATCH($A31,Exigences!$A:$A,0)))),"●","")</f>
        <v/>
      </c>
      <c r="H31" s="30">
        <f>IF(ISNUMBER(SEARCH(H$3,INDEX(Exigences!$E:$E,MATCH($A31,Exigences!$A:$A,0)))),"●","")</f>
        <v/>
      </c>
      <c r="I31" s="30">
        <f>IF(ISNUMBER(SEARCH(I$3,INDEX(Exigences!$E:$E,MATCH($A31,Exigences!$A:$A,0)))),"●","")</f>
        <v/>
      </c>
      <c r="J31" s="30">
        <f>IF(ISNUMBER(SEARCH(J$3,INDEX(Exigences!$E:$E,MATCH($A31,Exigences!$A:$A,0)))),"●","")</f>
        <v/>
      </c>
      <c r="K31" s="30">
        <f>IF(ISNUMBER(SEARCH(K$3,INDEX(Exigences!$E:$E,MATCH($A31,Exigences!$A:$A,0)))),"●","")</f>
        <v/>
      </c>
      <c r="L31" s="30">
        <f>IF(ISNUMBER(SEARCH(L$3,INDEX(Exigences!$E:$E,MATCH($A31,Exigences!$A:$A,0)))),"●","")</f>
        <v/>
      </c>
      <c r="M31" s="30">
        <f>IF(ISNUMBER(SEARCH(M$3,INDEX(Exigences!$E:$E,MATCH($A31,Exigences!$A:$A,0)))),"●","")</f>
        <v/>
      </c>
      <c r="N31" s="30">
        <f>IF(ISNUMBER(SEARCH(N$3,INDEX(Exigences!$E:$E,MATCH($A31,Exigences!$A:$A,0)))),"●","")</f>
        <v/>
      </c>
      <c r="O31" s="30">
        <f>IF(ISNUMBER(SEARCH(O$3,INDEX(Exigences!$E:$E,MATCH($A31,Exigences!$A:$A,0)))),"●","")</f>
        <v/>
      </c>
      <c r="P31" s="30">
        <f>IF(ISNUMBER(SEARCH(P$3,INDEX(Exigences!$E:$E,MATCH($A31,Exigences!$A:$A,0)))),"●","")</f>
        <v/>
      </c>
      <c r="Q31" s="30">
        <f>IF(ISNUMBER(SEARCH(Q$3,INDEX(Exigences!$E:$E,MATCH($A31,Exigences!$A:$A,0)))),"●","")</f>
        <v/>
      </c>
      <c r="R31" s="30">
        <f>IF(ISNUMBER(SEARCH(R$3,INDEX(Exigences!$E:$E,MATCH($A31,Exigences!$A:$A,0)))),"●","")</f>
        <v/>
      </c>
      <c r="S31" s="30">
        <f>IF(ISNUMBER(SEARCH(S$3,INDEX(Exigences!$E:$E,MATCH($A31,Exigences!$A:$A,0)))),"●","")</f>
        <v/>
      </c>
      <c r="T31" s="30">
        <f>IF(ISNUMBER(SEARCH(T$3,INDEX(Exigences!$E:$E,MATCH($A31,Exigences!$A:$A,0)))),"●","")</f>
        <v/>
      </c>
      <c r="U31" s="30">
        <f>IF(ISNUMBER(SEARCH(U$3,INDEX(Exigences!$E:$E,MATCH($A31,Exigences!$A:$A,0)))),"●","")</f>
        <v/>
      </c>
      <c r="V31" s="30">
        <f>IF(ISNUMBER(SEARCH(V$3,INDEX(Exigences!$E:$E,MATCH($A31,Exigences!$A:$A,0)))),"●","")</f>
        <v/>
      </c>
      <c r="W31" s="30">
        <f>IF(ISNUMBER(SEARCH(W$3,INDEX(Exigences!$E:$E,MATCH($A31,Exigences!$A:$A,0)))),"●","")</f>
        <v/>
      </c>
      <c r="X31" s="30">
        <f>IF(ISNUMBER(SEARCH(X$3,INDEX(Exigences!$E:$E,MATCH($A31,Exigences!$A:$A,0)))),"●","")</f>
        <v/>
      </c>
      <c r="Y31" s="30">
        <f>COUNTIF(D31:X31,"●")</f>
        <v/>
      </c>
    </row>
    <row r="32" ht="15" customHeight="1" s="20">
      <c r="A32" s="29" t="inlineStr">
        <is>
          <t>D-A3-09</t>
        </is>
      </c>
      <c r="B32" s="29">
        <f>INDEX(Exigences!$C:$C,MATCH(A32,Exigences!$A:$A,0))</f>
        <v/>
      </c>
      <c r="C32" s="25">
        <f>INDEX(Exigences!$D:$D,MATCH(A32,Exigences!$A:$A,0))</f>
        <v/>
      </c>
      <c r="D32" s="30">
        <f>IF(ISNUMBER(SEARCH(D$3,INDEX(Exigences!$E:$E,MATCH($A32,Exigences!$A:$A,0)))),"●","")</f>
        <v/>
      </c>
      <c r="E32" s="30">
        <f>IF(ISNUMBER(SEARCH(E$3,INDEX(Exigences!$E:$E,MATCH($A32,Exigences!$A:$A,0)))),"●","")</f>
        <v/>
      </c>
      <c r="F32" s="30">
        <f>IF(ISNUMBER(SEARCH(F$3,INDEX(Exigences!$E:$E,MATCH($A32,Exigences!$A:$A,0)))),"●","")</f>
        <v/>
      </c>
      <c r="G32" s="30">
        <f>IF(ISNUMBER(SEARCH(G$3,INDEX(Exigences!$E:$E,MATCH($A32,Exigences!$A:$A,0)))),"●","")</f>
        <v/>
      </c>
      <c r="H32" s="30">
        <f>IF(ISNUMBER(SEARCH(H$3,INDEX(Exigences!$E:$E,MATCH($A32,Exigences!$A:$A,0)))),"●","")</f>
        <v/>
      </c>
      <c r="I32" s="30">
        <f>IF(ISNUMBER(SEARCH(I$3,INDEX(Exigences!$E:$E,MATCH($A32,Exigences!$A:$A,0)))),"●","")</f>
        <v/>
      </c>
      <c r="J32" s="30">
        <f>IF(ISNUMBER(SEARCH(J$3,INDEX(Exigences!$E:$E,MATCH($A32,Exigences!$A:$A,0)))),"●","")</f>
        <v/>
      </c>
      <c r="K32" s="30">
        <f>IF(ISNUMBER(SEARCH(K$3,INDEX(Exigences!$E:$E,MATCH($A32,Exigences!$A:$A,0)))),"●","")</f>
        <v/>
      </c>
      <c r="L32" s="30">
        <f>IF(ISNUMBER(SEARCH(L$3,INDEX(Exigences!$E:$E,MATCH($A32,Exigences!$A:$A,0)))),"●","")</f>
        <v/>
      </c>
      <c r="M32" s="30">
        <f>IF(ISNUMBER(SEARCH(M$3,INDEX(Exigences!$E:$E,MATCH($A32,Exigences!$A:$A,0)))),"●","")</f>
        <v/>
      </c>
      <c r="N32" s="30">
        <f>IF(ISNUMBER(SEARCH(N$3,INDEX(Exigences!$E:$E,MATCH($A32,Exigences!$A:$A,0)))),"●","")</f>
        <v/>
      </c>
      <c r="O32" s="30">
        <f>IF(ISNUMBER(SEARCH(O$3,INDEX(Exigences!$E:$E,MATCH($A32,Exigences!$A:$A,0)))),"●","")</f>
        <v/>
      </c>
      <c r="P32" s="30">
        <f>IF(ISNUMBER(SEARCH(P$3,INDEX(Exigences!$E:$E,MATCH($A32,Exigences!$A:$A,0)))),"●","")</f>
        <v/>
      </c>
      <c r="Q32" s="30">
        <f>IF(ISNUMBER(SEARCH(Q$3,INDEX(Exigences!$E:$E,MATCH($A32,Exigences!$A:$A,0)))),"●","")</f>
        <v/>
      </c>
      <c r="R32" s="30">
        <f>IF(ISNUMBER(SEARCH(R$3,INDEX(Exigences!$E:$E,MATCH($A32,Exigences!$A:$A,0)))),"●","")</f>
        <v/>
      </c>
      <c r="S32" s="30">
        <f>IF(ISNUMBER(SEARCH(S$3,INDEX(Exigences!$E:$E,MATCH($A32,Exigences!$A:$A,0)))),"●","")</f>
        <v/>
      </c>
      <c r="T32" s="30">
        <f>IF(ISNUMBER(SEARCH(T$3,INDEX(Exigences!$E:$E,MATCH($A32,Exigences!$A:$A,0)))),"●","")</f>
        <v/>
      </c>
      <c r="U32" s="30">
        <f>IF(ISNUMBER(SEARCH(U$3,INDEX(Exigences!$E:$E,MATCH($A32,Exigences!$A:$A,0)))),"●","")</f>
        <v/>
      </c>
      <c r="V32" s="30">
        <f>IF(ISNUMBER(SEARCH(V$3,INDEX(Exigences!$E:$E,MATCH($A32,Exigences!$A:$A,0)))),"●","")</f>
        <v/>
      </c>
      <c r="W32" s="30">
        <f>IF(ISNUMBER(SEARCH(W$3,INDEX(Exigences!$E:$E,MATCH($A32,Exigences!$A:$A,0)))),"●","")</f>
        <v/>
      </c>
      <c r="X32" s="30">
        <f>IF(ISNUMBER(SEARCH(X$3,INDEX(Exigences!$E:$E,MATCH($A32,Exigences!$A:$A,0)))),"●","")</f>
        <v/>
      </c>
      <c r="Y32" s="30">
        <f>COUNTIF(D32:X32,"●")</f>
        <v/>
      </c>
    </row>
    <row r="33" ht="15" customHeight="1" s="20">
      <c r="A33" s="29" t="inlineStr">
        <is>
          <t>D-A3-10</t>
        </is>
      </c>
      <c r="B33" s="29">
        <f>INDEX(Exigences!$C:$C,MATCH(A33,Exigences!$A:$A,0))</f>
        <v/>
      </c>
      <c r="C33" s="25">
        <f>INDEX(Exigences!$D:$D,MATCH(A33,Exigences!$A:$A,0))</f>
        <v/>
      </c>
      <c r="D33" s="30">
        <f>IF(ISNUMBER(SEARCH(D$3,INDEX(Exigences!$E:$E,MATCH($A33,Exigences!$A:$A,0)))),"●","")</f>
        <v/>
      </c>
      <c r="E33" s="30">
        <f>IF(ISNUMBER(SEARCH(E$3,INDEX(Exigences!$E:$E,MATCH($A33,Exigences!$A:$A,0)))),"●","")</f>
        <v/>
      </c>
      <c r="F33" s="30">
        <f>IF(ISNUMBER(SEARCH(F$3,INDEX(Exigences!$E:$E,MATCH($A33,Exigences!$A:$A,0)))),"●","")</f>
        <v/>
      </c>
      <c r="G33" s="30">
        <f>IF(ISNUMBER(SEARCH(G$3,INDEX(Exigences!$E:$E,MATCH($A33,Exigences!$A:$A,0)))),"●","")</f>
        <v/>
      </c>
      <c r="H33" s="30">
        <f>IF(ISNUMBER(SEARCH(H$3,INDEX(Exigences!$E:$E,MATCH($A33,Exigences!$A:$A,0)))),"●","")</f>
        <v/>
      </c>
      <c r="I33" s="30">
        <f>IF(ISNUMBER(SEARCH(I$3,INDEX(Exigences!$E:$E,MATCH($A33,Exigences!$A:$A,0)))),"●","")</f>
        <v/>
      </c>
      <c r="J33" s="30">
        <f>IF(ISNUMBER(SEARCH(J$3,INDEX(Exigences!$E:$E,MATCH($A33,Exigences!$A:$A,0)))),"●","")</f>
        <v/>
      </c>
      <c r="K33" s="30">
        <f>IF(ISNUMBER(SEARCH(K$3,INDEX(Exigences!$E:$E,MATCH($A33,Exigences!$A:$A,0)))),"●","")</f>
        <v/>
      </c>
      <c r="L33" s="30">
        <f>IF(ISNUMBER(SEARCH(L$3,INDEX(Exigences!$E:$E,MATCH($A33,Exigences!$A:$A,0)))),"●","")</f>
        <v/>
      </c>
      <c r="M33" s="30">
        <f>IF(ISNUMBER(SEARCH(M$3,INDEX(Exigences!$E:$E,MATCH($A33,Exigences!$A:$A,0)))),"●","")</f>
        <v/>
      </c>
      <c r="N33" s="30">
        <f>IF(ISNUMBER(SEARCH(N$3,INDEX(Exigences!$E:$E,MATCH($A33,Exigences!$A:$A,0)))),"●","")</f>
        <v/>
      </c>
      <c r="O33" s="30">
        <f>IF(ISNUMBER(SEARCH(O$3,INDEX(Exigences!$E:$E,MATCH($A33,Exigences!$A:$A,0)))),"●","")</f>
        <v/>
      </c>
      <c r="P33" s="30">
        <f>IF(ISNUMBER(SEARCH(P$3,INDEX(Exigences!$E:$E,MATCH($A33,Exigences!$A:$A,0)))),"●","")</f>
        <v/>
      </c>
      <c r="Q33" s="30">
        <f>IF(ISNUMBER(SEARCH(Q$3,INDEX(Exigences!$E:$E,MATCH($A33,Exigences!$A:$A,0)))),"●","")</f>
        <v/>
      </c>
      <c r="R33" s="30">
        <f>IF(ISNUMBER(SEARCH(R$3,INDEX(Exigences!$E:$E,MATCH($A33,Exigences!$A:$A,0)))),"●","")</f>
        <v/>
      </c>
      <c r="S33" s="30">
        <f>IF(ISNUMBER(SEARCH(S$3,INDEX(Exigences!$E:$E,MATCH($A33,Exigences!$A:$A,0)))),"●","")</f>
        <v/>
      </c>
      <c r="T33" s="30">
        <f>IF(ISNUMBER(SEARCH(T$3,INDEX(Exigences!$E:$E,MATCH($A33,Exigences!$A:$A,0)))),"●","")</f>
        <v/>
      </c>
      <c r="U33" s="30">
        <f>IF(ISNUMBER(SEARCH(U$3,INDEX(Exigences!$E:$E,MATCH($A33,Exigences!$A:$A,0)))),"●","")</f>
        <v/>
      </c>
      <c r="V33" s="30">
        <f>IF(ISNUMBER(SEARCH(V$3,INDEX(Exigences!$E:$E,MATCH($A33,Exigences!$A:$A,0)))),"●","")</f>
        <v/>
      </c>
      <c r="W33" s="30">
        <f>IF(ISNUMBER(SEARCH(W$3,INDEX(Exigences!$E:$E,MATCH($A33,Exigences!$A:$A,0)))),"●","")</f>
        <v/>
      </c>
      <c r="X33" s="30">
        <f>IF(ISNUMBER(SEARCH(X$3,INDEX(Exigences!$E:$E,MATCH($A33,Exigences!$A:$A,0)))),"●","")</f>
        <v/>
      </c>
      <c r="Y33" s="30">
        <f>COUNTIF(D33:X33,"●")</f>
        <v/>
      </c>
    </row>
    <row r="34" ht="15" customHeight="1" s="20">
      <c r="A34" s="29" t="inlineStr">
        <is>
          <t>D-A3-11</t>
        </is>
      </c>
      <c r="B34" s="29">
        <f>INDEX(Exigences!$C:$C,MATCH(A34,Exigences!$A:$A,0))</f>
        <v/>
      </c>
      <c r="C34" s="25">
        <f>INDEX(Exigences!$D:$D,MATCH(A34,Exigences!$A:$A,0))</f>
        <v/>
      </c>
      <c r="D34" s="30">
        <f>IF(ISNUMBER(SEARCH(D$3,INDEX(Exigences!$E:$E,MATCH($A34,Exigences!$A:$A,0)))),"●","")</f>
        <v/>
      </c>
      <c r="E34" s="30">
        <f>IF(ISNUMBER(SEARCH(E$3,INDEX(Exigences!$E:$E,MATCH($A34,Exigences!$A:$A,0)))),"●","")</f>
        <v/>
      </c>
      <c r="F34" s="30">
        <f>IF(ISNUMBER(SEARCH(F$3,INDEX(Exigences!$E:$E,MATCH($A34,Exigences!$A:$A,0)))),"●","")</f>
        <v/>
      </c>
      <c r="G34" s="30">
        <f>IF(ISNUMBER(SEARCH(G$3,INDEX(Exigences!$E:$E,MATCH($A34,Exigences!$A:$A,0)))),"●","")</f>
        <v/>
      </c>
      <c r="H34" s="30">
        <f>IF(ISNUMBER(SEARCH(H$3,INDEX(Exigences!$E:$E,MATCH($A34,Exigences!$A:$A,0)))),"●","")</f>
        <v/>
      </c>
      <c r="I34" s="30">
        <f>IF(ISNUMBER(SEARCH(I$3,INDEX(Exigences!$E:$E,MATCH($A34,Exigences!$A:$A,0)))),"●","")</f>
        <v/>
      </c>
      <c r="J34" s="30">
        <f>IF(ISNUMBER(SEARCH(J$3,INDEX(Exigences!$E:$E,MATCH($A34,Exigences!$A:$A,0)))),"●","")</f>
        <v/>
      </c>
      <c r="K34" s="30">
        <f>IF(ISNUMBER(SEARCH(K$3,INDEX(Exigences!$E:$E,MATCH($A34,Exigences!$A:$A,0)))),"●","")</f>
        <v/>
      </c>
      <c r="L34" s="30">
        <f>IF(ISNUMBER(SEARCH(L$3,INDEX(Exigences!$E:$E,MATCH($A34,Exigences!$A:$A,0)))),"●","")</f>
        <v/>
      </c>
      <c r="M34" s="30">
        <f>IF(ISNUMBER(SEARCH(M$3,INDEX(Exigences!$E:$E,MATCH($A34,Exigences!$A:$A,0)))),"●","")</f>
        <v/>
      </c>
      <c r="N34" s="30">
        <f>IF(ISNUMBER(SEARCH(N$3,INDEX(Exigences!$E:$E,MATCH($A34,Exigences!$A:$A,0)))),"●","")</f>
        <v/>
      </c>
      <c r="O34" s="30">
        <f>IF(ISNUMBER(SEARCH(O$3,INDEX(Exigences!$E:$E,MATCH($A34,Exigences!$A:$A,0)))),"●","")</f>
        <v/>
      </c>
      <c r="P34" s="30">
        <f>IF(ISNUMBER(SEARCH(P$3,INDEX(Exigences!$E:$E,MATCH($A34,Exigences!$A:$A,0)))),"●","")</f>
        <v/>
      </c>
      <c r="Q34" s="30">
        <f>IF(ISNUMBER(SEARCH(Q$3,INDEX(Exigences!$E:$E,MATCH($A34,Exigences!$A:$A,0)))),"●","")</f>
        <v/>
      </c>
      <c r="R34" s="30">
        <f>IF(ISNUMBER(SEARCH(R$3,INDEX(Exigences!$E:$E,MATCH($A34,Exigences!$A:$A,0)))),"●","")</f>
        <v/>
      </c>
      <c r="S34" s="30">
        <f>IF(ISNUMBER(SEARCH(S$3,INDEX(Exigences!$E:$E,MATCH($A34,Exigences!$A:$A,0)))),"●","")</f>
        <v/>
      </c>
      <c r="T34" s="30">
        <f>IF(ISNUMBER(SEARCH(T$3,INDEX(Exigences!$E:$E,MATCH($A34,Exigences!$A:$A,0)))),"●","")</f>
        <v/>
      </c>
      <c r="U34" s="30">
        <f>IF(ISNUMBER(SEARCH(U$3,INDEX(Exigences!$E:$E,MATCH($A34,Exigences!$A:$A,0)))),"●","")</f>
        <v/>
      </c>
      <c r="V34" s="30">
        <f>IF(ISNUMBER(SEARCH(V$3,INDEX(Exigences!$E:$E,MATCH($A34,Exigences!$A:$A,0)))),"●","")</f>
        <v/>
      </c>
      <c r="W34" s="30">
        <f>IF(ISNUMBER(SEARCH(W$3,INDEX(Exigences!$E:$E,MATCH($A34,Exigences!$A:$A,0)))),"●","")</f>
        <v/>
      </c>
      <c r="X34" s="30">
        <f>IF(ISNUMBER(SEARCH(X$3,INDEX(Exigences!$E:$E,MATCH($A34,Exigences!$A:$A,0)))),"●","")</f>
        <v/>
      </c>
      <c r="Y34" s="30">
        <f>COUNTIF(D34:X34,"●")</f>
        <v/>
      </c>
    </row>
    <row r="35" ht="23.25" customHeight="1" s="20">
      <c r="A35" s="29" t="inlineStr">
        <is>
          <t>D-A3-12</t>
        </is>
      </c>
      <c r="B35" s="29">
        <f>INDEX(Exigences!$C:$C,MATCH(A35,Exigences!$A:$A,0))</f>
        <v/>
      </c>
      <c r="C35" s="25">
        <f>INDEX(Exigences!$D:$D,MATCH(A35,Exigences!$A:$A,0))</f>
        <v/>
      </c>
      <c r="D35" s="30">
        <f>IF(ISNUMBER(SEARCH(D$3,INDEX(Exigences!$E:$E,MATCH($A35,Exigences!$A:$A,0)))),"●","")</f>
        <v/>
      </c>
      <c r="E35" s="30">
        <f>IF(ISNUMBER(SEARCH(E$3,INDEX(Exigences!$E:$E,MATCH($A35,Exigences!$A:$A,0)))),"●","")</f>
        <v/>
      </c>
      <c r="F35" s="30">
        <f>IF(ISNUMBER(SEARCH(F$3,INDEX(Exigences!$E:$E,MATCH($A35,Exigences!$A:$A,0)))),"●","")</f>
        <v/>
      </c>
      <c r="G35" s="30">
        <f>IF(ISNUMBER(SEARCH(G$3,INDEX(Exigences!$E:$E,MATCH($A35,Exigences!$A:$A,0)))),"●","")</f>
        <v/>
      </c>
      <c r="H35" s="30">
        <f>IF(ISNUMBER(SEARCH(H$3,INDEX(Exigences!$E:$E,MATCH($A35,Exigences!$A:$A,0)))),"●","")</f>
        <v/>
      </c>
      <c r="I35" s="30">
        <f>IF(ISNUMBER(SEARCH(I$3,INDEX(Exigences!$E:$E,MATCH($A35,Exigences!$A:$A,0)))),"●","")</f>
        <v/>
      </c>
      <c r="J35" s="30">
        <f>IF(ISNUMBER(SEARCH(J$3,INDEX(Exigences!$E:$E,MATCH($A35,Exigences!$A:$A,0)))),"●","")</f>
        <v/>
      </c>
      <c r="K35" s="30">
        <f>IF(ISNUMBER(SEARCH(K$3,INDEX(Exigences!$E:$E,MATCH($A35,Exigences!$A:$A,0)))),"●","")</f>
        <v/>
      </c>
      <c r="L35" s="30">
        <f>IF(ISNUMBER(SEARCH(L$3,INDEX(Exigences!$E:$E,MATCH($A35,Exigences!$A:$A,0)))),"●","")</f>
        <v/>
      </c>
      <c r="M35" s="30">
        <f>IF(ISNUMBER(SEARCH(M$3,INDEX(Exigences!$E:$E,MATCH($A35,Exigences!$A:$A,0)))),"●","")</f>
        <v/>
      </c>
      <c r="N35" s="30">
        <f>IF(ISNUMBER(SEARCH(N$3,INDEX(Exigences!$E:$E,MATCH($A35,Exigences!$A:$A,0)))),"●","")</f>
        <v/>
      </c>
      <c r="O35" s="30">
        <f>IF(ISNUMBER(SEARCH(O$3,INDEX(Exigences!$E:$E,MATCH($A35,Exigences!$A:$A,0)))),"●","")</f>
        <v/>
      </c>
      <c r="P35" s="30">
        <f>IF(ISNUMBER(SEARCH(P$3,INDEX(Exigences!$E:$E,MATCH($A35,Exigences!$A:$A,0)))),"●","")</f>
        <v/>
      </c>
      <c r="Q35" s="30">
        <f>IF(ISNUMBER(SEARCH(Q$3,INDEX(Exigences!$E:$E,MATCH($A35,Exigences!$A:$A,0)))),"●","")</f>
        <v/>
      </c>
      <c r="R35" s="30">
        <f>IF(ISNUMBER(SEARCH(R$3,INDEX(Exigences!$E:$E,MATCH($A35,Exigences!$A:$A,0)))),"●","")</f>
        <v/>
      </c>
      <c r="S35" s="30">
        <f>IF(ISNUMBER(SEARCH(S$3,INDEX(Exigences!$E:$E,MATCH($A35,Exigences!$A:$A,0)))),"●","")</f>
        <v/>
      </c>
      <c r="T35" s="30">
        <f>IF(ISNUMBER(SEARCH(T$3,INDEX(Exigences!$E:$E,MATCH($A35,Exigences!$A:$A,0)))),"●","")</f>
        <v/>
      </c>
      <c r="U35" s="30">
        <f>IF(ISNUMBER(SEARCH(U$3,INDEX(Exigences!$E:$E,MATCH($A35,Exigences!$A:$A,0)))),"●","")</f>
        <v/>
      </c>
      <c r="V35" s="30">
        <f>IF(ISNUMBER(SEARCH(V$3,INDEX(Exigences!$E:$E,MATCH($A35,Exigences!$A:$A,0)))),"●","")</f>
        <v/>
      </c>
      <c r="W35" s="30">
        <f>IF(ISNUMBER(SEARCH(W$3,INDEX(Exigences!$E:$E,MATCH($A35,Exigences!$A:$A,0)))),"●","")</f>
        <v/>
      </c>
      <c r="X35" s="30">
        <f>IF(ISNUMBER(SEARCH(X$3,INDEX(Exigences!$E:$E,MATCH($A35,Exigences!$A:$A,0)))),"●","")</f>
        <v/>
      </c>
      <c r="Y35" s="30">
        <f>COUNTIF(D35:X35,"●")</f>
        <v/>
      </c>
    </row>
    <row r="36" ht="15" customHeight="1" s="20">
      <c r="A36" s="29" t="inlineStr">
        <is>
          <t>D-A3-13</t>
        </is>
      </c>
      <c r="B36" s="29">
        <f>INDEX(Exigences!$C:$C,MATCH(A36,Exigences!$A:$A,0))</f>
        <v/>
      </c>
      <c r="C36" s="25">
        <f>INDEX(Exigences!$D:$D,MATCH(A36,Exigences!$A:$A,0))</f>
        <v/>
      </c>
      <c r="D36" s="30">
        <f>IF(ISNUMBER(SEARCH(D$3,INDEX(Exigences!$E:$E,MATCH($A36,Exigences!$A:$A,0)))),"●","")</f>
        <v/>
      </c>
      <c r="E36" s="30">
        <f>IF(ISNUMBER(SEARCH(E$3,INDEX(Exigences!$E:$E,MATCH($A36,Exigences!$A:$A,0)))),"●","")</f>
        <v/>
      </c>
      <c r="F36" s="30">
        <f>IF(ISNUMBER(SEARCH(F$3,INDEX(Exigences!$E:$E,MATCH($A36,Exigences!$A:$A,0)))),"●","")</f>
        <v/>
      </c>
      <c r="G36" s="30">
        <f>IF(ISNUMBER(SEARCH(G$3,INDEX(Exigences!$E:$E,MATCH($A36,Exigences!$A:$A,0)))),"●","")</f>
        <v/>
      </c>
      <c r="H36" s="30">
        <f>IF(ISNUMBER(SEARCH(H$3,INDEX(Exigences!$E:$E,MATCH($A36,Exigences!$A:$A,0)))),"●","")</f>
        <v/>
      </c>
      <c r="I36" s="30">
        <f>IF(ISNUMBER(SEARCH(I$3,INDEX(Exigences!$E:$E,MATCH($A36,Exigences!$A:$A,0)))),"●","")</f>
        <v/>
      </c>
      <c r="J36" s="30">
        <f>IF(ISNUMBER(SEARCH(J$3,INDEX(Exigences!$E:$E,MATCH($A36,Exigences!$A:$A,0)))),"●","")</f>
        <v/>
      </c>
      <c r="K36" s="30">
        <f>IF(ISNUMBER(SEARCH(K$3,INDEX(Exigences!$E:$E,MATCH($A36,Exigences!$A:$A,0)))),"●","")</f>
        <v/>
      </c>
      <c r="L36" s="30">
        <f>IF(ISNUMBER(SEARCH(L$3,INDEX(Exigences!$E:$E,MATCH($A36,Exigences!$A:$A,0)))),"●","")</f>
        <v/>
      </c>
      <c r="M36" s="30">
        <f>IF(ISNUMBER(SEARCH(M$3,INDEX(Exigences!$E:$E,MATCH($A36,Exigences!$A:$A,0)))),"●","")</f>
        <v/>
      </c>
      <c r="N36" s="30">
        <f>IF(ISNUMBER(SEARCH(N$3,INDEX(Exigences!$E:$E,MATCH($A36,Exigences!$A:$A,0)))),"●","")</f>
        <v/>
      </c>
      <c r="O36" s="30">
        <f>IF(ISNUMBER(SEARCH(O$3,INDEX(Exigences!$E:$E,MATCH($A36,Exigences!$A:$A,0)))),"●","")</f>
        <v/>
      </c>
      <c r="P36" s="30">
        <f>IF(ISNUMBER(SEARCH(P$3,INDEX(Exigences!$E:$E,MATCH($A36,Exigences!$A:$A,0)))),"●","")</f>
        <v/>
      </c>
      <c r="Q36" s="30">
        <f>IF(ISNUMBER(SEARCH(Q$3,INDEX(Exigences!$E:$E,MATCH($A36,Exigences!$A:$A,0)))),"●","")</f>
        <v/>
      </c>
      <c r="R36" s="30">
        <f>IF(ISNUMBER(SEARCH(R$3,INDEX(Exigences!$E:$E,MATCH($A36,Exigences!$A:$A,0)))),"●","")</f>
        <v/>
      </c>
      <c r="S36" s="30">
        <f>IF(ISNUMBER(SEARCH(S$3,INDEX(Exigences!$E:$E,MATCH($A36,Exigences!$A:$A,0)))),"●","")</f>
        <v/>
      </c>
      <c r="T36" s="30">
        <f>IF(ISNUMBER(SEARCH(T$3,INDEX(Exigences!$E:$E,MATCH($A36,Exigences!$A:$A,0)))),"●","")</f>
        <v/>
      </c>
      <c r="U36" s="30">
        <f>IF(ISNUMBER(SEARCH(U$3,INDEX(Exigences!$E:$E,MATCH($A36,Exigences!$A:$A,0)))),"●","")</f>
        <v/>
      </c>
      <c r="V36" s="30">
        <f>IF(ISNUMBER(SEARCH(V$3,INDEX(Exigences!$E:$E,MATCH($A36,Exigences!$A:$A,0)))),"●","")</f>
        <v/>
      </c>
      <c r="W36" s="30">
        <f>IF(ISNUMBER(SEARCH(W$3,INDEX(Exigences!$E:$E,MATCH($A36,Exigences!$A:$A,0)))),"●","")</f>
        <v/>
      </c>
      <c r="X36" s="30">
        <f>IF(ISNUMBER(SEARCH(X$3,INDEX(Exigences!$E:$E,MATCH($A36,Exigences!$A:$A,0)))),"●","")</f>
        <v/>
      </c>
      <c r="Y36" s="30">
        <f>COUNTIF(D36:X36,"●")</f>
        <v/>
      </c>
    </row>
    <row r="37" ht="15" customHeight="1" s="20">
      <c r="A37" s="29" t="inlineStr">
        <is>
          <t>D-A3-14</t>
        </is>
      </c>
      <c r="B37" s="29">
        <f>INDEX(Exigences!$C:$C,MATCH(A37,Exigences!$A:$A,0))</f>
        <v/>
      </c>
      <c r="C37" s="25">
        <f>INDEX(Exigences!$D:$D,MATCH(A37,Exigences!$A:$A,0))</f>
        <v/>
      </c>
      <c r="D37" s="30">
        <f>IF(ISNUMBER(SEARCH(D$3,INDEX(Exigences!$E:$E,MATCH($A37,Exigences!$A:$A,0)))),"●","")</f>
        <v/>
      </c>
      <c r="E37" s="30">
        <f>IF(ISNUMBER(SEARCH(E$3,INDEX(Exigences!$E:$E,MATCH($A37,Exigences!$A:$A,0)))),"●","")</f>
        <v/>
      </c>
      <c r="F37" s="30">
        <f>IF(ISNUMBER(SEARCH(F$3,INDEX(Exigences!$E:$E,MATCH($A37,Exigences!$A:$A,0)))),"●","")</f>
        <v/>
      </c>
      <c r="G37" s="30">
        <f>IF(ISNUMBER(SEARCH(G$3,INDEX(Exigences!$E:$E,MATCH($A37,Exigences!$A:$A,0)))),"●","")</f>
        <v/>
      </c>
      <c r="H37" s="30">
        <f>IF(ISNUMBER(SEARCH(H$3,INDEX(Exigences!$E:$E,MATCH($A37,Exigences!$A:$A,0)))),"●","")</f>
        <v/>
      </c>
      <c r="I37" s="30">
        <f>IF(ISNUMBER(SEARCH(I$3,INDEX(Exigences!$E:$E,MATCH($A37,Exigences!$A:$A,0)))),"●","")</f>
        <v/>
      </c>
      <c r="J37" s="30">
        <f>IF(ISNUMBER(SEARCH(J$3,INDEX(Exigences!$E:$E,MATCH($A37,Exigences!$A:$A,0)))),"●","")</f>
        <v/>
      </c>
      <c r="K37" s="30">
        <f>IF(ISNUMBER(SEARCH(K$3,INDEX(Exigences!$E:$E,MATCH($A37,Exigences!$A:$A,0)))),"●","")</f>
        <v/>
      </c>
      <c r="L37" s="30">
        <f>IF(ISNUMBER(SEARCH(L$3,INDEX(Exigences!$E:$E,MATCH($A37,Exigences!$A:$A,0)))),"●","")</f>
        <v/>
      </c>
      <c r="M37" s="30">
        <f>IF(ISNUMBER(SEARCH(M$3,INDEX(Exigences!$E:$E,MATCH($A37,Exigences!$A:$A,0)))),"●","")</f>
        <v/>
      </c>
      <c r="N37" s="30">
        <f>IF(ISNUMBER(SEARCH(N$3,INDEX(Exigences!$E:$E,MATCH($A37,Exigences!$A:$A,0)))),"●","")</f>
        <v/>
      </c>
      <c r="O37" s="30">
        <f>IF(ISNUMBER(SEARCH(O$3,INDEX(Exigences!$E:$E,MATCH($A37,Exigences!$A:$A,0)))),"●","")</f>
        <v/>
      </c>
      <c r="P37" s="30">
        <f>IF(ISNUMBER(SEARCH(P$3,INDEX(Exigences!$E:$E,MATCH($A37,Exigences!$A:$A,0)))),"●","")</f>
        <v/>
      </c>
      <c r="Q37" s="30">
        <f>IF(ISNUMBER(SEARCH(Q$3,INDEX(Exigences!$E:$E,MATCH($A37,Exigences!$A:$A,0)))),"●","")</f>
        <v/>
      </c>
      <c r="R37" s="30">
        <f>IF(ISNUMBER(SEARCH(R$3,INDEX(Exigences!$E:$E,MATCH($A37,Exigences!$A:$A,0)))),"●","")</f>
        <v/>
      </c>
      <c r="S37" s="30">
        <f>IF(ISNUMBER(SEARCH(S$3,INDEX(Exigences!$E:$E,MATCH($A37,Exigences!$A:$A,0)))),"●","")</f>
        <v/>
      </c>
      <c r="T37" s="30">
        <f>IF(ISNUMBER(SEARCH(T$3,INDEX(Exigences!$E:$E,MATCH($A37,Exigences!$A:$A,0)))),"●","")</f>
        <v/>
      </c>
      <c r="U37" s="30">
        <f>IF(ISNUMBER(SEARCH(U$3,INDEX(Exigences!$E:$E,MATCH($A37,Exigences!$A:$A,0)))),"●","")</f>
        <v/>
      </c>
      <c r="V37" s="30">
        <f>IF(ISNUMBER(SEARCH(V$3,INDEX(Exigences!$E:$E,MATCH($A37,Exigences!$A:$A,0)))),"●","")</f>
        <v/>
      </c>
      <c r="W37" s="30">
        <f>IF(ISNUMBER(SEARCH(W$3,INDEX(Exigences!$E:$E,MATCH($A37,Exigences!$A:$A,0)))),"●","")</f>
        <v/>
      </c>
      <c r="X37" s="30">
        <f>IF(ISNUMBER(SEARCH(X$3,INDEX(Exigences!$E:$E,MATCH($A37,Exigences!$A:$A,0)))),"●","")</f>
        <v/>
      </c>
      <c r="Y37" s="30">
        <f>COUNTIF(D37:X37,"●")</f>
        <v/>
      </c>
    </row>
    <row r="38" ht="15" customHeight="1" s="20">
      <c r="A38" s="29" t="inlineStr">
        <is>
          <t>D-B-01</t>
        </is>
      </c>
      <c r="B38" s="29">
        <f>INDEX(Exigences!$C:$C,MATCH(A38,Exigences!$A:$A,0))</f>
        <v/>
      </c>
      <c r="C38" s="25">
        <f>INDEX(Exigences!$D:$D,MATCH(A38,Exigences!$A:$A,0))</f>
        <v/>
      </c>
      <c r="D38" s="30">
        <f>IF(ISNUMBER(SEARCH(D$3,INDEX(Exigences!$E:$E,MATCH($A38,Exigences!$A:$A,0)))),"●","")</f>
        <v/>
      </c>
      <c r="E38" s="30">
        <f>IF(ISNUMBER(SEARCH(E$3,INDEX(Exigences!$E:$E,MATCH($A38,Exigences!$A:$A,0)))),"●","")</f>
        <v/>
      </c>
      <c r="F38" s="30">
        <f>IF(ISNUMBER(SEARCH(F$3,INDEX(Exigences!$E:$E,MATCH($A38,Exigences!$A:$A,0)))),"●","")</f>
        <v/>
      </c>
      <c r="G38" s="30">
        <f>IF(ISNUMBER(SEARCH(G$3,INDEX(Exigences!$E:$E,MATCH($A38,Exigences!$A:$A,0)))),"●","")</f>
        <v/>
      </c>
      <c r="H38" s="30">
        <f>IF(ISNUMBER(SEARCH(H$3,INDEX(Exigences!$E:$E,MATCH($A38,Exigences!$A:$A,0)))),"●","")</f>
        <v/>
      </c>
      <c r="I38" s="30">
        <f>IF(ISNUMBER(SEARCH(I$3,INDEX(Exigences!$E:$E,MATCH($A38,Exigences!$A:$A,0)))),"●","")</f>
        <v/>
      </c>
      <c r="J38" s="30">
        <f>IF(ISNUMBER(SEARCH(J$3,INDEX(Exigences!$E:$E,MATCH($A38,Exigences!$A:$A,0)))),"●","")</f>
        <v/>
      </c>
      <c r="K38" s="30">
        <f>IF(ISNUMBER(SEARCH(K$3,INDEX(Exigences!$E:$E,MATCH($A38,Exigences!$A:$A,0)))),"●","")</f>
        <v/>
      </c>
      <c r="L38" s="30">
        <f>IF(ISNUMBER(SEARCH(L$3,INDEX(Exigences!$E:$E,MATCH($A38,Exigences!$A:$A,0)))),"●","")</f>
        <v/>
      </c>
      <c r="M38" s="30">
        <f>IF(ISNUMBER(SEARCH(M$3,INDEX(Exigences!$E:$E,MATCH($A38,Exigences!$A:$A,0)))),"●","")</f>
        <v/>
      </c>
      <c r="N38" s="30">
        <f>IF(ISNUMBER(SEARCH(N$3,INDEX(Exigences!$E:$E,MATCH($A38,Exigences!$A:$A,0)))),"●","")</f>
        <v/>
      </c>
      <c r="O38" s="30">
        <f>IF(ISNUMBER(SEARCH(O$3,INDEX(Exigences!$E:$E,MATCH($A38,Exigences!$A:$A,0)))),"●","")</f>
        <v/>
      </c>
      <c r="P38" s="30">
        <f>IF(ISNUMBER(SEARCH(P$3,INDEX(Exigences!$E:$E,MATCH($A38,Exigences!$A:$A,0)))),"●","")</f>
        <v/>
      </c>
      <c r="Q38" s="30">
        <f>IF(ISNUMBER(SEARCH(Q$3,INDEX(Exigences!$E:$E,MATCH($A38,Exigences!$A:$A,0)))),"●","")</f>
        <v/>
      </c>
      <c r="R38" s="30">
        <f>IF(ISNUMBER(SEARCH(R$3,INDEX(Exigences!$E:$E,MATCH($A38,Exigences!$A:$A,0)))),"●","")</f>
        <v/>
      </c>
      <c r="S38" s="30">
        <f>IF(ISNUMBER(SEARCH(S$3,INDEX(Exigences!$E:$E,MATCH($A38,Exigences!$A:$A,0)))),"●","")</f>
        <v/>
      </c>
      <c r="T38" s="30">
        <f>IF(ISNUMBER(SEARCH(T$3,INDEX(Exigences!$E:$E,MATCH($A38,Exigences!$A:$A,0)))),"●","")</f>
        <v/>
      </c>
      <c r="U38" s="30">
        <f>IF(ISNUMBER(SEARCH(U$3,INDEX(Exigences!$E:$E,MATCH($A38,Exigences!$A:$A,0)))),"●","")</f>
        <v/>
      </c>
      <c r="V38" s="30">
        <f>IF(ISNUMBER(SEARCH(V$3,INDEX(Exigences!$E:$E,MATCH($A38,Exigences!$A:$A,0)))),"●","")</f>
        <v/>
      </c>
      <c r="W38" s="30">
        <f>IF(ISNUMBER(SEARCH(W$3,INDEX(Exigences!$E:$E,MATCH($A38,Exigences!$A:$A,0)))),"●","")</f>
        <v/>
      </c>
      <c r="X38" s="30">
        <f>IF(ISNUMBER(SEARCH(X$3,INDEX(Exigences!$E:$E,MATCH($A38,Exigences!$A:$A,0)))),"●","")</f>
        <v/>
      </c>
      <c r="Y38" s="30">
        <f>COUNTIF(D38:X38,"●")</f>
        <v/>
      </c>
    </row>
    <row r="39" ht="15" customHeight="1" s="20">
      <c r="A39" s="29" t="inlineStr">
        <is>
          <t>D-B-02</t>
        </is>
      </c>
      <c r="B39" s="29">
        <f>INDEX(Exigences!$C:$C,MATCH(A39,Exigences!$A:$A,0))</f>
        <v/>
      </c>
      <c r="C39" s="25">
        <f>INDEX(Exigences!$D:$D,MATCH(A39,Exigences!$A:$A,0))</f>
        <v/>
      </c>
      <c r="D39" s="30">
        <f>IF(ISNUMBER(SEARCH(D$3,INDEX(Exigences!$E:$E,MATCH($A39,Exigences!$A:$A,0)))),"●","")</f>
        <v/>
      </c>
      <c r="E39" s="30">
        <f>IF(ISNUMBER(SEARCH(E$3,INDEX(Exigences!$E:$E,MATCH($A39,Exigences!$A:$A,0)))),"●","")</f>
        <v/>
      </c>
      <c r="F39" s="30">
        <f>IF(ISNUMBER(SEARCH(F$3,INDEX(Exigences!$E:$E,MATCH($A39,Exigences!$A:$A,0)))),"●","")</f>
        <v/>
      </c>
      <c r="G39" s="30">
        <f>IF(ISNUMBER(SEARCH(G$3,INDEX(Exigences!$E:$E,MATCH($A39,Exigences!$A:$A,0)))),"●","")</f>
        <v/>
      </c>
      <c r="H39" s="30">
        <f>IF(ISNUMBER(SEARCH(H$3,INDEX(Exigences!$E:$E,MATCH($A39,Exigences!$A:$A,0)))),"●","")</f>
        <v/>
      </c>
      <c r="I39" s="30">
        <f>IF(ISNUMBER(SEARCH(I$3,INDEX(Exigences!$E:$E,MATCH($A39,Exigences!$A:$A,0)))),"●","")</f>
        <v/>
      </c>
      <c r="J39" s="30">
        <f>IF(ISNUMBER(SEARCH(J$3,INDEX(Exigences!$E:$E,MATCH($A39,Exigences!$A:$A,0)))),"●","")</f>
        <v/>
      </c>
      <c r="K39" s="30">
        <f>IF(ISNUMBER(SEARCH(K$3,INDEX(Exigences!$E:$E,MATCH($A39,Exigences!$A:$A,0)))),"●","")</f>
        <v/>
      </c>
      <c r="L39" s="30">
        <f>IF(ISNUMBER(SEARCH(L$3,INDEX(Exigences!$E:$E,MATCH($A39,Exigences!$A:$A,0)))),"●","")</f>
        <v/>
      </c>
      <c r="M39" s="30">
        <f>IF(ISNUMBER(SEARCH(M$3,INDEX(Exigences!$E:$E,MATCH($A39,Exigences!$A:$A,0)))),"●","")</f>
        <v/>
      </c>
      <c r="N39" s="30">
        <f>IF(ISNUMBER(SEARCH(N$3,INDEX(Exigences!$E:$E,MATCH($A39,Exigences!$A:$A,0)))),"●","")</f>
        <v/>
      </c>
      <c r="O39" s="30">
        <f>IF(ISNUMBER(SEARCH(O$3,INDEX(Exigences!$E:$E,MATCH($A39,Exigences!$A:$A,0)))),"●","")</f>
        <v/>
      </c>
      <c r="P39" s="30">
        <f>IF(ISNUMBER(SEARCH(P$3,INDEX(Exigences!$E:$E,MATCH($A39,Exigences!$A:$A,0)))),"●","")</f>
        <v/>
      </c>
      <c r="Q39" s="30">
        <f>IF(ISNUMBER(SEARCH(Q$3,INDEX(Exigences!$E:$E,MATCH($A39,Exigences!$A:$A,0)))),"●","")</f>
        <v/>
      </c>
      <c r="R39" s="30">
        <f>IF(ISNUMBER(SEARCH(R$3,INDEX(Exigences!$E:$E,MATCH($A39,Exigences!$A:$A,0)))),"●","")</f>
        <v/>
      </c>
      <c r="S39" s="30">
        <f>IF(ISNUMBER(SEARCH(S$3,INDEX(Exigences!$E:$E,MATCH($A39,Exigences!$A:$A,0)))),"●","")</f>
        <v/>
      </c>
      <c r="T39" s="30">
        <f>IF(ISNUMBER(SEARCH(T$3,INDEX(Exigences!$E:$E,MATCH($A39,Exigences!$A:$A,0)))),"●","")</f>
        <v/>
      </c>
      <c r="U39" s="30">
        <f>IF(ISNUMBER(SEARCH(U$3,INDEX(Exigences!$E:$E,MATCH($A39,Exigences!$A:$A,0)))),"●","")</f>
        <v/>
      </c>
      <c r="V39" s="30">
        <f>IF(ISNUMBER(SEARCH(V$3,INDEX(Exigences!$E:$E,MATCH($A39,Exigences!$A:$A,0)))),"●","")</f>
        <v/>
      </c>
      <c r="W39" s="30">
        <f>IF(ISNUMBER(SEARCH(W$3,INDEX(Exigences!$E:$E,MATCH($A39,Exigences!$A:$A,0)))),"●","")</f>
        <v/>
      </c>
      <c r="X39" s="30">
        <f>IF(ISNUMBER(SEARCH(X$3,INDEX(Exigences!$E:$E,MATCH($A39,Exigences!$A:$A,0)))),"●","")</f>
        <v/>
      </c>
      <c r="Y39" s="30">
        <f>COUNTIF(D39:X39,"●")</f>
        <v/>
      </c>
    </row>
    <row r="40" ht="15" customHeight="1" s="20">
      <c r="A40" s="29" t="inlineStr">
        <is>
          <t>D-B-03</t>
        </is>
      </c>
      <c r="B40" s="29">
        <f>INDEX(Exigences!$C:$C,MATCH(A40,Exigences!$A:$A,0))</f>
        <v/>
      </c>
      <c r="C40" s="25">
        <f>INDEX(Exigences!$D:$D,MATCH(A40,Exigences!$A:$A,0))</f>
        <v/>
      </c>
      <c r="D40" s="30">
        <f>IF(ISNUMBER(SEARCH(D$3,INDEX(Exigences!$E:$E,MATCH($A40,Exigences!$A:$A,0)))),"●","")</f>
        <v/>
      </c>
      <c r="E40" s="30">
        <f>IF(ISNUMBER(SEARCH(E$3,INDEX(Exigences!$E:$E,MATCH($A40,Exigences!$A:$A,0)))),"●","")</f>
        <v/>
      </c>
      <c r="F40" s="30">
        <f>IF(ISNUMBER(SEARCH(F$3,INDEX(Exigences!$E:$E,MATCH($A40,Exigences!$A:$A,0)))),"●","")</f>
        <v/>
      </c>
      <c r="G40" s="30">
        <f>IF(ISNUMBER(SEARCH(G$3,INDEX(Exigences!$E:$E,MATCH($A40,Exigences!$A:$A,0)))),"●","")</f>
        <v/>
      </c>
      <c r="H40" s="30">
        <f>IF(ISNUMBER(SEARCH(H$3,INDEX(Exigences!$E:$E,MATCH($A40,Exigences!$A:$A,0)))),"●","")</f>
        <v/>
      </c>
      <c r="I40" s="30">
        <f>IF(ISNUMBER(SEARCH(I$3,INDEX(Exigences!$E:$E,MATCH($A40,Exigences!$A:$A,0)))),"●","")</f>
        <v/>
      </c>
      <c r="J40" s="30">
        <f>IF(ISNUMBER(SEARCH(J$3,INDEX(Exigences!$E:$E,MATCH($A40,Exigences!$A:$A,0)))),"●","")</f>
        <v/>
      </c>
      <c r="K40" s="30">
        <f>IF(ISNUMBER(SEARCH(K$3,INDEX(Exigences!$E:$E,MATCH($A40,Exigences!$A:$A,0)))),"●","")</f>
        <v/>
      </c>
      <c r="L40" s="30">
        <f>IF(ISNUMBER(SEARCH(L$3,INDEX(Exigences!$E:$E,MATCH($A40,Exigences!$A:$A,0)))),"●","")</f>
        <v/>
      </c>
      <c r="M40" s="30">
        <f>IF(ISNUMBER(SEARCH(M$3,INDEX(Exigences!$E:$E,MATCH($A40,Exigences!$A:$A,0)))),"●","")</f>
        <v/>
      </c>
      <c r="N40" s="30">
        <f>IF(ISNUMBER(SEARCH(N$3,INDEX(Exigences!$E:$E,MATCH($A40,Exigences!$A:$A,0)))),"●","")</f>
        <v/>
      </c>
      <c r="O40" s="30">
        <f>IF(ISNUMBER(SEARCH(O$3,INDEX(Exigences!$E:$E,MATCH($A40,Exigences!$A:$A,0)))),"●","")</f>
        <v/>
      </c>
      <c r="P40" s="30">
        <f>IF(ISNUMBER(SEARCH(P$3,INDEX(Exigences!$E:$E,MATCH($A40,Exigences!$A:$A,0)))),"●","")</f>
        <v/>
      </c>
      <c r="Q40" s="30">
        <f>IF(ISNUMBER(SEARCH(Q$3,INDEX(Exigences!$E:$E,MATCH($A40,Exigences!$A:$A,0)))),"●","")</f>
        <v/>
      </c>
      <c r="R40" s="30">
        <f>IF(ISNUMBER(SEARCH(R$3,INDEX(Exigences!$E:$E,MATCH($A40,Exigences!$A:$A,0)))),"●","")</f>
        <v/>
      </c>
      <c r="S40" s="30">
        <f>IF(ISNUMBER(SEARCH(S$3,INDEX(Exigences!$E:$E,MATCH($A40,Exigences!$A:$A,0)))),"●","")</f>
        <v/>
      </c>
      <c r="T40" s="30">
        <f>IF(ISNUMBER(SEARCH(T$3,INDEX(Exigences!$E:$E,MATCH($A40,Exigences!$A:$A,0)))),"●","")</f>
        <v/>
      </c>
      <c r="U40" s="30">
        <f>IF(ISNUMBER(SEARCH(U$3,INDEX(Exigences!$E:$E,MATCH($A40,Exigences!$A:$A,0)))),"●","")</f>
        <v/>
      </c>
      <c r="V40" s="30">
        <f>IF(ISNUMBER(SEARCH(V$3,INDEX(Exigences!$E:$E,MATCH($A40,Exigences!$A:$A,0)))),"●","")</f>
        <v/>
      </c>
      <c r="W40" s="30">
        <f>IF(ISNUMBER(SEARCH(W$3,INDEX(Exigences!$E:$E,MATCH($A40,Exigences!$A:$A,0)))),"●","")</f>
        <v/>
      </c>
      <c r="X40" s="30">
        <f>IF(ISNUMBER(SEARCH(X$3,INDEX(Exigences!$E:$E,MATCH($A40,Exigences!$A:$A,0)))),"●","")</f>
        <v/>
      </c>
      <c r="Y40" s="30">
        <f>COUNTIF(D40:X40,"●")</f>
        <v/>
      </c>
    </row>
    <row r="41" ht="15" customHeight="1" s="20">
      <c r="A41" s="29" t="inlineStr">
        <is>
          <t>D-C-01</t>
        </is>
      </c>
      <c r="B41" s="29">
        <f>INDEX(Exigences!$C:$C,MATCH(A41,Exigences!$A:$A,0))</f>
        <v/>
      </c>
      <c r="C41" s="25">
        <f>INDEX(Exigences!$D:$D,MATCH(A41,Exigences!$A:$A,0))</f>
        <v/>
      </c>
      <c r="D41" s="30">
        <f>IF(ISNUMBER(SEARCH(D$3,INDEX(Exigences!$E:$E,MATCH($A41,Exigences!$A:$A,0)))),"●","")</f>
        <v/>
      </c>
      <c r="E41" s="30">
        <f>IF(ISNUMBER(SEARCH(E$3,INDEX(Exigences!$E:$E,MATCH($A41,Exigences!$A:$A,0)))),"●","")</f>
        <v/>
      </c>
      <c r="F41" s="30">
        <f>IF(ISNUMBER(SEARCH(F$3,INDEX(Exigences!$E:$E,MATCH($A41,Exigences!$A:$A,0)))),"●","")</f>
        <v/>
      </c>
      <c r="G41" s="30">
        <f>IF(ISNUMBER(SEARCH(G$3,INDEX(Exigences!$E:$E,MATCH($A41,Exigences!$A:$A,0)))),"●","")</f>
        <v/>
      </c>
      <c r="H41" s="30">
        <f>IF(ISNUMBER(SEARCH(H$3,INDEX(Exigences!$E:$E,MATCH($A41,Exigences!$A:$A,0)))),"●","")</f>
        <v/>
      </c>
      <c r="I41" s="30">
        <f>IF(ISNUMBER(SEARCH(I$3,INDEX(Exigences!$E:$E,MATCH($A41,Exigences!$A:$A,0)))),"●","")</f>
        <v/>
      </c>
      <c r="J41" s="30">
        <f>IF(ISNUMBER(SEARCH(J$3,INDEX(Exigences!$E:$E,MATCH($A41,Exigences!$A:$A,0)))),"●","")</f>
        <v/>
      </c>
      <c r="K41" s="30">
        <f>IF(ISNUMBER(SEARCH(K$3,INDEX(Exigences!$E:$E,MATCH($A41,Exigences!$A:$A,0)))),"●","")</f>
        <v/>
      </c>
      <c r="L41" s="30">
        <f>IF(ISNUMBER(SEARCH(L$3,INDEX(Exigences!$E:$E,MATCH($A41,Exigences!$A:$A,0)))),"●","")</f>
        <v/>
      </c>
      <c r="M41" s="30">
        <f>IF(ISNUMBER(SEARCH(M$3,INDEX(Exigences!$E:$E,MATCH($A41,Exigences!$A:$A,0)))),"●","")</f>
        <v/>
      </c>
      <c r="N41" s="30">
        <f>IF(ISNUMBER(SEARCH(N$3,INDEX(Exigences!$E:$E,MATCH($A41,Exigences!$A:$A,0)))),"●","")</f>
        <v/>
      </c>
      <c r="O41" s="30">
        <f>IF(ISNUMBER(SEARCH(O$3,INDEX(Exigences!$E:$E,MATCH($A41,Exigences!$A:$A,0)))),"●","")</f>
        <v/>
      </c>
      <c r="P41" s="30">
        <f>IF(ISNUMBER(SEARCH(P$3,INDEX(Exigences!$E:$E,MATCH($A41,Exigences!$A:$A,0)))),"●","")</f>
        <v/>
      </c>
      <c r="Q41" s="30">
        <f>IF(ISNUMBER(SEARCH(Q$3,INDEX(Exigences!$E:$E,MATCH($A41,Exigences!$A:$A,0)))),"●","")</f>
        <v/>
      </c>
      <c r="R41" s="30">
        <f>IF(ISNUMBER(SEARCH(R$3,INDEX(Exigences!$E:$E,MATCH($A41,Exigences!$A:$A,0)))),"●","")</f>
        <v/>
      </c>
      <c r="S41" s="30">
        <f>IF(ISNUMBER(SEARCH(S$3,INDEX(Exigences!$E:$E,MATCH($A41,Exigences!$A:$A,0)))),"●","")</f>
        <v/>
      </c>
      <c r="T41" s="30">
        <f>IF(ISNUMBER(SEARCH(T$3,INDEX(Exigences!$E:$E,MATCH($A41,Exigences!$A:$A,0)))),"●","")</f>
        <v/>
      </c>
      <c r="U41" s="30">
        <f>IF(ISNUMBER(SEARCH(U$3,INDEX(Exigences!$E:$E,MATCH($A41,Exigences!$A:$A,0)))),"●","")</f>
        <v/>
      </c>
      <c r="V41" s="30">
        <f>IF(ISNUMBER(SEARCH(V$3,INDEX(Exigences!$E:$E,MATCH($A41,Exigences!$A:$A,0)))),"●","")</f>
        <v/>
      </c>
      <c r="W41" s="30">
        <f>IF(ISNUMBER(SEARCH(W$3,INDEX(Exigences!$E:$E,MATCH($A41,Exigences!$A:$A,0)))),"●","")</f>
        <v/>
      </c>
      <c r="X41" s="30">
        <f>IF(ISNUMBER(SEARCH(X$3,INDEX(Exigences!$E:$E,MATCH($A41,Exigences!$A:$A,0)))),"●","")</f>
        <v/>
      </c>
      <c r="Y41" s="30">
        <f>COUNTIF(D41:X41,"●")</f>
        <v/>
      </c>
    </row>
    <row r="42" ht="15" customHeight="1" s="20">
      <c r="A42" s="29" t="inlineStr">
        <is>
          <t>D-C-02</t>
        </is>
      </c>
      <c r="B42" s="29">
        <f>INDEX(Exigences!$C:$C,MATCH(A42,Exigences!$A:$A,0))</f>
        <v/>
      </c>
      <c r="C42" s="25">
        <f>INDEX(Exigences!$D:$D,MATCH(A42,Exigences!$A:$A,0))</f>
        <v/>
      </c>
      <c r="D42" s="30">
        <f>IF(ISNUMBER(SEARCH(D$3,INDEX(Exigences!$E:$E,MATCH($A42,Exigences!$A:$A,0)))),"●","")</f>
        <v/>
      </c>
      <c r="E42" s="30">
        <f>IF(ISNUMBER(SEARCH(E$3,INDEX(Exigences!$E:$E,MATCH($A42,Exigences!$A:$A,0)))),"●","")</f>
        <v/>
      </c>
      <c r="F42" s="30">
        <f>IF(ISNUMBER(SEARCH(F$3,INDEX(Exigences!$E:$E,MATCH($A42,Exigences!$A:$A,0)))),"●","")</f>
        <v/>
      </c>
      <c r="G42" s="30">
        <f>IF(ISNUMBER(SEARCH(G$3,INDEX(Exigences!$E:$E,MATCH($A42,Exigences!$A:$A,0)))),"●","")</f>
        <v/>
      </c>
      <c r="H42" s="30">
        <f>IF(ISNUMBER(SEARCH(H$3,INDEX(Exigences!$E:$E,MATCH($A42,Exigences!$A:$A,0)))),"●","")</f>
        <v/>
      </c>
      <c r="I42" s="30">
        <f>IF(ISNUMBER(SEARCH(I$3,INDEX(Exigences!$E:$E,MATCH($A42,Exigences!$A:$A,0)))),"●","")</f>
        <v/>
      </c>
      <c r="J42" s="30">
        <f>IF(ISNUMBER(SEARCH(J$3,INDEX(Exigences!$E:$E,MATCH($A42,Exigences!$A:$A,0)))),"●","")</f>
        <v/>
      </c>
      <c r="K42" s="30">
        <f>IF(ISNUMBER(SEARCH(K$3,INDEX(Exigences!$E:$E,MATCH($A42,Exigences!$A:$A,0)))),"●","")</f>
        <v/>
      </c>
      <c r="L42" s="30">
        <f>IF(ISNUMBER(SEARCH(L$3,INDEX(Exigences!$E:$E,MATCH($A42,Exigences!$A:$A,0)))),"●","")</f>
        <v/>
      </c>
      <c r="M42" s="30">
        <f>IF(ISNUMBER(SEARCH(M$3,INDEX(Exigences!$E:$E,MATCH($A42,Exigences!$A:$A,0)))),"●","")</f>
        <v/>
      </c>
      <c r="N42" s="30">
        <f>IF(ISNUMBER(SEARCH(N$3,INDEX(Exigences!$E:$E,MATCH($A42,Exigences!$A:$A,0)))),"●","")</f>
        <v/>
      </c>
      <c r="O42" s="30">
        <f>IF(ISNUMBER(SEARCH(O$3,INDEX(Exigences!$E:$E,MATCH($A42,Exigences!$A:$A,0)))),"●","")</f>
        <v/>
      </c>
      <c r="P42" s="30">
        <f>IF(ISNUMBER(SEARCH(P$3,INDEX(Exigences!$E:$E,MATCH($A42,Exigences!$A:$A,0)))),"●","")</f>
        <v/>
      </c>
      <c r="Q42" s="30">
        <f>IF(ISNUMBER(SEARCH(Q$3,INDEX(Exigences!$E:$E,MATCH($A42,Exigences!$A:$A,0)))),"●","")</f>
        <v/>
      </c>
      <c r="R42" s="30">
        <f>IF(ISNUMBER(SEARCH(R$3,INDEX(Exigences!$E:$E,MATCH($A42,Exigences!$A:$A,0)))),"●","")</f>
        <v/>
      </c>
      <c r="S42" s="30">
        <f>IF(ISNUMBER(SEARCH(S$3,INDEX(Exigences!$E:$E,MATCH($A42,Exigences!$A:$A,0)))),"●","")</f>
        <v/>
      </c>
      <c r="T42" s="30">
        <f>IF(ISNUMBER(SEARCH(T$3,INDEX(Exigences!$E:$E,MATCH($A42,Exigences!$A:$A,0)))),"●","")</f>
        <v/>
      </c>
      <c r="U42" s="30">
        <f>IF(ISNUMBER(SEARCH(U$3,INDEX(Exigences!$E:$E,MATCH($A42,Exigences!$A:$A,0)))),"●","")</f>
        <v/>
      </c>
      <c r="V42" s="30">
        <f>IF(ISNUMBER(SEARCH(V$3,INDEX(Exigences!$E:$E,MATCH($A42,Exigences!$A:$A,0)))),"●","")</f>
        <v/>
      </c>
      <c r="W42" s="30">
        <f>IF(ISNUMBER(SEARCH(W$3,INDEX(Exigences!$E:$E,MATCH($A42,Exigences!$A:$A,0)))),"●","")</f>
        <v/>
      </c>
      <c r="X42" s="30">
        <f>IF(ISNUMBER(SEARCH(X$3,INDEX(Exigences!$E:$E,MATCH($A42,Exigences!$A:$A,0)))),"●","")</f>
        <v/>
      </c>
      <c r="Y42" s="30">
        <f>COUNTIF(D42:X42,"●")</f>
        <v/>
      </c>
    </row>
    <row r="43" ht="15" customHeight="1" s="20">
      <c r="A43" s="29" t="inlineStr">
        <is>
          <t>D-C-03</t>
        </is>
      </c>
      <c r="B43" s="29">
        <f>INDEX(Exigences!$C:$C,MATCH(A43,Exigences!$A:$A,0))</f>
        <v/>
      </c>
      <c r="C43" s="25">
        <f>INDEX(Exigences!$D:$D,MATCH(A43,Exigences!$A:$A,0))</f>
        <v/>
      </c>
      <c r="D43" s="30">
        <f>IF(ISNUMBER(SEARCH(D$3,INDEX(Exigences!$E:$E,MATCH($A43,Exigences!$A:$A,0)))),"●","")</f>
        <v/>
      </c>
      <c r="E43" s="30">
        <f>IF(ISNUMBER(SEARCH(E$3,INDEX(Exigences!$E:$E,MATCH($A43,Exigences!$A:$A,0)))),"●","")</f>
        <v/>
      </c>
      <c r="F43" s="30">
        <f>IF(ISNUMBER(SEARCH(F$3,INDEX(Exigences!$E:$E,MATCH($A43,Exigences!$A:$A,0)))),"●","")</f>
        <v/>
      </c>
      <c r="G43" s="30">
        <f>IF(ISNUMBER(SEARCH(G$3,INDEX(Exigences!$E:$E,MATCH($A43,Exigences!$A:$A,0)))),"●","")</f>
        <v/>
      </c>
      <c r="H43" s="30">
        <f>IF(ISNUMBER(SEARCH(H$3,INDEX(Exigences!$E:$E,MATCH($A43,Exigences!$A:$A,0)))),"●","")</f>
        <v/>
      </c>
      <c r="I43" s="30">
        <f>IF(ISNUMBER(SEARCH(I$3,INDEX(Exigences!$E:$E,MATCH($A43,Exigences!$A:$A,0)))),"●","")</f>
        <v/>
      </c>
      <c r="J43" s="30">
        <f>IF(ISNUMBER(SEARCH(J$3,INDEX(Exigences!$E:$E,MATCH($A43,Exigences!$A:$A,0)))),"●","")</f>
        <v/>
      </c>
      <c r="K43" s="30">
        <f>IF(ISNUMBER(SEARCH(K$3,INDEX(Exigences!$E:$E,MATCH($A43,Exigences!$A:$A,0)))),"●","")</f>
        <v/>
      </c>
      <c r="L43" s="30">
        <f>IF(ISNUMBER(SEARCH(L$3,INDEX(Exigences!$E:$E,MATCH($A43,Exigences!$A:$A,0)))),"●","")</f>
        <v/>
      </c>
      <c r="M43" s="30">
        <f>IF(ISNUMBER(SEARCH(M$3,INDEX(Exigences!$E:$E,MATCH($A43,Exigences!$A:$A,0)))),"●","")</f>
        <v/>
      </c>
      <c r="N43" s="30">
        <f>IF(ISNUMBER(SEARCH(N$3,INDEX(Exigences!$E:$E,MATCH($A43,Exigences!$A:$A,0)))),"●","")</f>
        <v/>
      </c>
      <c r="O43" s="30">
        <f>IF(ISNUMBER(SEARCH(O$3,INDEX(Exigences!$E:$E,MATCH($A43,Exigences!$A:$A,0)))),"●","")</f>
        <v/>
      </c>
      <c r="P43" s="30">
        <f>IF(ISNUMBER(SEARCH(P$3,INDEX(Exigences!$E:$E,MATCH($A43,Exigences!$A:$A,0)))),"●","")</f>
        <v/>
      </c>
      <c r="Q43" s="30">
        <f>IF(ISNUMBER(SEARCH(Q$3,INDEX(Exigences!$E:$E,MATCH($A43,Exigences!$A:$A,0)))),"●","")</f>
        <v/>
      </c>
      <c r="R43" s="30">
        <f>IF(ISNUMBER(SEARCH(R$3,INDEX(Exigences!$E:$E,MATCH($A43,Exigences!$A:$A,0)))),"●","")</f>
        <v/>
      </c>
      <c r="S43" s="30">
        <f>IF(ISNUMBER(SEARCH(S$3,INDEX(Exigences!$E:$E,MATCH($A43,Exigences!$A:$A,0)))),"●","")</f>
        <v/>
      </c>
      <c r="T43" s="30">
        <f>IF(ISNUMBER(SEARCH(T$3,INDEX(Exigences!$E:$E,MATCH($A43,Exigences!$A:$A,0)))),"●","")</f>
        <v/>
      </c>
      <c r="U43" s="30">
        <f>IF(ISNUMBER(SEARCH(U$3,INDEX(Exigences!$E:$E,MATCH($A43,Exigences!$A:$A,0)))),"●","")</f>
        <v/>
      </c>
      <c r="V43" s="30">
        <f>IF(ISNUMBER(SEARCH(V$3,INDEX(Exigences!$E:$E,MATCH($A43,Exigences!$A:$A,0)))),"●","")</f>
        <v/>
      </c>
      <c r="W43" s="30">
        <f>IF(ISNUMBER(SEARCH(W$3,INDEX(Exigences!$E:$E,MATCH($A43,Exigences!$A:$A,0)))),"●","")</f>
        <v/>
      </c>
      <c r="X43" s="30">
        <f>IF(ISNUMBER(SEARCH(X$3,INDEX(Exigences!$E:$E,MATCH($A43,Exigences!$A:$A,0)))),"●","")</f>
        <v/>
      </c>
      <c r="Y43" s="30">
        <f>COUNTIF(D43:X43,"●")</f>
        <v/>
      </c>
    </row>
    <row r="44" ht="15" customHeight="1" s="20">
      <c r="A44" s="29" t="inlineStr">
        <is>
          <t>D-C-04</t>
        </is>
      </c>
      <c r="B44" s="29">
        <f>INDEX(Exigences!$C:$C,MATCH(A44,Exigences!$A:$A,0))</f>
        <v/>
      </c>
      <c r="C44" s="25">
        <f>INDEX(Exigences!$D:$D,MATCH(A44,Exigences!$A:$A,0))</f>
        <v/>
      </c>
      <c r="D44" s="30">
        <f>IF(ISNUMBER(SEARCH(D$3,INDEX(Exigences!$E:$E,MATCH($A44,Exigences!$A:$A,0)))),"●","")</f>
        <v/>
      </c>
      <c r="E44" s="30">
        <f>IF(ISNUMBER(SEARCH(E$3,INDEX(Exigences!$E:$E,MATCH($A44,Exigences!$A:$A,0)))),"●","")</f>
        <v/>
      </c>
      <c r="F44" s="30">
        <f>IF(ISNUMBER(SEARCH(F$3,INDEX(Exigences!$E:$E,MATCH($A44,Exigences!$A:$A,0)))),"●","")</f>
        <v/>
      </c>
      <c r="G44" s="30">
        <f>IF(ISNUMBER(SEARCH(G$3,INDEX(Exigences!$E:$E,MATCH($A44,Exigences!$A:$A,0)))),"●","")</f>
        <v/>
      </c>
      <c r="H44" s="30">
        <f>IF(ISNUMBER(SEARCH(H$3,INDEX(Exigences!$E:$E,MATCH($A44,Exigences!$A:$A,0)))),"●","")</f>
        <v/>
      </c>
      <c r="I44" s="30">
        <f>IF(ISNUMBER(SEARCH(I$3,INDEX(Exigences!$E:$E,MATCH($A44,Exigences!$A:$A,0)))),"●","")</f>
        <v/>
      </c>
      <c r="J44" s="30">
        <f>IF(ISNUMBER(SEARCH(J$3,INDEX(Exigences!$E:$E,MATCH($A44,Exigences!$A:$A,0)))),"●","")</f>
        <v/>
      </c>
      <c r="K44" s="30">
        <f>IF(ISNUMBER(SEARCH(K$3,INDEX(Exigences!$E:$E,MATCH($A44,Exigences!$A:$A,0)))),"●","")</f>
        <v/>
      </c>
      <c r="L44" s="30">
        <f>IF(ISNUMBER(SEARCH(L$3,INDEX(Exigences!$E:$E,MATCH($A44,Exigences!$A:$A,0)))),"●","")</f>
        <v/>
      </c>
      <c r="M44" s="30">
        <f>IF(ISNUMBER(SEARCH(M$3,INDEX(Exigences!$E:$E,MATCH($A44,Exigences!$A:$A,0)))),"●","")</f>
        <v/>
      </c>
      <c r="N44" s="30">
        <f>IF(ISNUMBER(SEARCH(N$3,INDEX(Exigences!$E:$E,MATCH($A44,Exigences!$A:$A,0)))),"●","")</f>
        <v/>
      </c>
      <c r="O44" s="30">
        <f>IF(ISNUMBER(SEARCH(O$3,INDEX(Exigences!$E:$E,MATCH($A44,Exigences!$A:$A,0)))),"●","")</f>
        <v/>
      </c>
      <c r="P44" s="30">
        <f>IF(ISNUMBER(SEARCH(P$3,INDEX(Exigences!$E:$E,MATCH($A44,Exigences!$A:$A,0)))),"●","")</f>
        <v/>
      </c>
      <c r="Q44" s="30">
        <f>IF(ISNUMBER(SEARCH(Q$3,INDEX(Exigences!$E:$E,MATCH($A44,Exigences!$A:$A,0)))),"●","")</f>
        <v/>
      </c>
      <c r="R44" s="30">
        <f>IF(ISNUMBER(SEARCH(R$3,INDEX(Exigences!$E:$E,MATCH($A44,Exigences!$A:$A,0)))),"●","")</f>
        <v/>
      </c>
      <c r="S44" s="30">
        <f>IF(ISNUMBER(SEARCH(S$3,INDEX(Exigences!$E:$E,MATCH($A44,Exigences!$A:$A,0)))),"●","")</f>
        <v/>
      </c>
      <c r="T44" s="30">
        <f>IF(ISNUMBER(SEARCH(T$3,INDEX(Exigences!$E:$E,MATCH($A44,Exigences!$A:$A,0)))),"●","")</f>
        <v/>
      </c>
      <c r="U44" s="30">
        <f>IF(ISNUMBER(SEARCH(U$3,INDEX(Exigences!$E:$E,MATCH($A44,Exigences!$A:$A,0)))),"●","")</f>
        <v/>
      </c>
      <c r="V44" s="30">
        <f>IF(ISNUMBER(SEARCH(V$3,INDEX(Exigences!$E:$E,MATCH($A44,Exigences!$A:$A,0)))),"●","")</f>
        <v/>
      </c>
      <c r="W44" s="30">
        <f>IF(ISNUMBER(SEARCH(W$3,INDEX(Exigences!$E:$E,MATCH($A44,Exigences!$A:$A,0)))),"●","")</f>
        <v/>
      </c>
      <c r="X44" s="30">
        <f>IF(ISNUMBER(SEARCH(X$3,INDEX(Exigences!$E:$E,MATCH($A44,Exigences!$A:$A,0)))),"●","")</f>
        <v/>
      </c>
      <c r="Y44" s="30">
        <f>COUNTIF(D44:X44,"●")</f>
        <v/>
      </c>
    </row>
    <row r="45" ht="15" customHeight="1" s="20">
      <c r="A45" s="29" t="inlineStr">
        <is>
          <t>D-C-05</t>
        </is>
      </c>
      <c r="B45" s="29">
        <f>INDEX(Exigences!$C:$C,MATCH(A45,Exigences!$A:$A,0))</f>
        <v/>
      </c>
      <c r="C45" s="25">
        <f>INDEX(Exigences!$D:$D,MATCH(A45,Exigences!$A:$A,0))</f>
        <v/>
      </c>
      <c r="D45" s="30">
        <f>IF(ISNUMBER(SEARCH(D$3,INDEX(Exigences!$E:$E,MATCH($A45,Exigences!$A:$A,0)))),"●","")</f>
        <v/>
      </c>
      <c r="E45" s="30">
        <f>IF(ISNUMBER(SEARCH(E$3,INDEX(Exigences!$E:$E,MATCH($A45,Exigences!$A:$A,0)))),"●","")</f>
        <v/>
      </c>
      <c r="F45" s="30">
        <f>IF(ISNUMBER(SEARCH(F$3,INDEX(Exigences!$E:$E,MATCH($A45,Exigences!$A:$A,0)))),"●","")</f>
        <v/>
      </c>
      <c r="G45" s="30">
        <f>IF(ISNUMBER(SEARCH(G$3,INDEX(Exigences!$E:$E,MATCH($A45,Exigences!$A:$A,0)))),"●","")</f>
        <v/>
      </c>
      <c r="H45" s="30">
        <f>IF(ISNUMBER(SEARCH(H$3,INDEX(Exigences!$E:$E,MATCH($A45,Exigences!$A:$A,0)))),"●","")</f>
        <v/>
      </c>
      <c r="I45" s="30">
        <f>IF(ISNUMBER(SEARCH(I$3,INDEX(Exigences!$E:$E,MATCH($A45,Exigences!$A:$A,0)))),"●","")</f>
        <v/>
      </c>
      <c r="J45" s="30">
        <f>IF(ISNUMBER(SEARCH(J$3,INDEX(Exigences!$E:$E,MATCH($A45,Exigences!$A:$A,0)))),"●","")</f>
        <v/>
      </c>
      <c r="K45" s="30">
        <f>IF(ISNUMBER(SEARCH(K$3,INDEX(Exigences!$E:$E,MATCH($A45,Exigences!$A:$A,0)))),"●","")</f>
        <v/>
      </c>
      <c r="L45" s="30">
        <f>IF(ISNUMBER(SEARCH(L$3,INDEX(Exigences!$E:$E,MATCH($A45,Exigences!$A:$A,0)))),"●","")</f>
        <v/>
      </c>
      <c r="M45" s="30">
        <f>IF(ISNUMBER(SEARCH(M$3,INDEX(Exigences!$E:$E,MATCH($A45,Exigences!$A:$A,0)))),"●","")</f>
        <v/>
      </c>
      <c r="N45" s="30">
        <f>IF(ISNUMBER(SEARCH(N$3,INDEX(Exigences!$E:$E,MATCH($A45,Exigences!$A:$A,0)))),"●","")</f>
        <v/>
      </c>
      <c r="O45" s="30">
        <f>IF(ISNUMBER(SEARCH(O$3,INDEX(Exigences!$E:$E,MATCH($A45,Exigences!$A:$A,0)))),"●","")</f>
        <v/>
      </c>
      <c r="P45" s="30">
        <f>IF(ISNUMBER(SEARCH(P$3,INDEX(Exigences!$E:$E,MATCH($A45,Exigences!$A:$A,0)))),"●","")</f>
        <v/>
      </c>
      <c r="Q45" s="30">
        <f>IF(ISNUMBER(SEARCH(Q$3,INDEX(Exigences!$E:$E,MATCH($A45,Exigences!$A:$A,0)))),"●","")</f>
        <v/>
      </c>
      <c r="R45" s="30">
        <f>IF(ISNUMBER(SEARCH(R$3,INDEX(Exigences!$E:$E,MATCH($A45,Exigences!$A:$A,0)))),"●","")</f>
        <v/>
      </c>
      <c r="S45" s="30">
        <f>IF(ISNUMBER(SEARCH(S$3,INDEX(Exigences!$E:$E,MATCH($A45,Exigences!$A:$A,0)))),"●","")</f>
        <v/>
      </c>
      <c r="T45" s="30">
        <f>IF(ISNUMBER(SEARCH(T$3,INDEX(Exigences!$E:$E,MATCH($A45,Exigences!$A:$A,0)))),"●","")</f>
        <v/>
      </c>
      <c r="U45" s="30">
        <f>IF(ISNUMBER(SEARCH(U$3,INDEX(Exigences!$E:$E,MATCH($A45,Exigences!$A:$A,0)))),"●","")</f>
        <v/>
      </c>
      <c r="V45" s="30">
        <f>IF(ISNUMBER(SEARCH(V$3,INDEX(Exigences!$E:$E,MATCH($A45,Exigences!$A:$A,0)))),"●","")</f>
        <v/>
      </c>
      <c r="W45" s="30">
        <f>IF(ISNUMBER(SEARCH(W$3,INDEX(Exigences!$E:$E,MATCH($A45,Exigences!$A:$A,0)))),"●","")</f>
        <v/>
      </c>
      <c r="X45" s="30">
        <f>IF(ISNUMBER(SEARCH(X$3,INDEX(Exigences!$E:$E,MATCH($A45,Exigences!$A:$A,0)))),"●","")</f>
        <v/>
      </c>
      <c r="Y45" s="30">
        <f>COUNTIF(D45:X45,"●")</f>
        <v/>
      </c>
    </row>
    <row r="46" ht="15" customHeight="1" s="20">
      <c r="A46" s="29" t="inlineStr">
        <is>
          <t>D-C-06</t>
        </is>
      </c>
      <c r="B46" s="29">
        <f>INDEX(Exigences!$C:$C,MATCH(A46,Exigences!$A:$A,0))</f>
        <v/>
      </c>
      <c r="C46" s="25">
        <f>INDEX(Exigences!$D:$D,MATCH(A46,Exigences!$A:$A,0))</f>
        <v/>
      </c>
      <c r="D46" s="30">
        <f>IF(ISNUMBER(SEARCH(D$3,INDEX(Exigences!$E:$E,MATCH($A46,Exigences!$A:$A,0)))),"●","")</f>
        <v/>
      </c>
      <c r="E46" s="30">
        <f>IF(ISNUMBER(SEARCH(E$3,INDEX(Exigences!$E:$E,MATCH($A46,Exigences!$A:$A,0)))),"●","")</f>
        <v/>
      </c>
      <c r="F46" s="30">
        <f>IF(ISNUMBER(SEARCH(F$3,INDEX(Exigences!$E:$E,MATCH($A46,Exigences!$A:$A,0)))),"●","")</f>
        <v/>
      </c>
      <c r="G46" s="30">
        <f>IF(ISNUMBER(SEARCH(G$3,INDEX(Exigences!$E:$E,MATCH($A46,Exigences!$A:$A,0)))),"●","")</f>
        <v/>
      </c>
      <c r="H46" s="30">
        <f>IF(ISNUMBER(SEARCH(H$3,INDEX(Exigences!$E:$E,MATCH($A46,Exigences!$A:$A,0)))),"●","")</f>
        <v/>
      </c>
      <c r="I46" s="30">
        <f>IF(ISNUMBER(SEARCH(I$3,INDEX(Exigences!$E:$E,MATCH($A46,Exigences!$A:$A,0)))),"●","")</f>
        <v/>
      </c>
      <c r="J46" s="30">
        <f>IF(ISNUMBER(SEARCH(J$3,INDEX(Exigences!$E:$E,MATCH($A46,Exigences!$A:$A,0)))),"●","")</f>
        <v/>
      </c>
      <c r="K46" s="30">
        <f>IF(ISNUMBER(SEARCH(K$3,INDEX(Exigences!$E:$E,MATCH($A46,Exigences!$A:$A,0)))),"●","")</f>
        <v/>
      </c>
      <c r="L46" s="30">
        <f>IF(ISNUMBER(SEARCH(L$3,INDEX(Exigences!$E:$E,MATCH($A46,Exigences!$A:$A,0)))),"●","")</f>
        <v/>
      </c>
      <c r="M46" s="30">
        <f>IF(ISNUMBER(SEARCH(M$3,INDEX(Exigences!$E:$E,MATCH($A46,Exigences!$A:$A,0)))),"●","")</f>
        <v/>
      </c>
      <c r="N46" s="30">
        <f>IF(ISNUMBER(SEARCH(N$3,INDEX(Exigences!$E:$E,MATCH($A46,Exigences!$A:$A,0)))),"●","")</f>
        <v/>
      </c>
      <c r="O46" s="30">
        <f>IF(ISNUMBER(SEARCH(O$3,INDEX(Exigences!$E:$E,MATCH($A46,Exigences!$A:$A,0)))),"●","")</f>
        <v/>
      </c>
      <c r="P46" s="30">
        <f>IF(ISNUMBER(SEARCH(P$3,INDEX(Exigences!$E:$E,MATCH($A46,Exigences!$A:$A,0)))),"●","")</f>
        <v/>
      </c>
      <c r="Q46" s="30">
        <f>IF(ISNUMBER(SEARCH(Q$3,INDEX(Exigences!$E:$E,MATCH($A46,Exigences!$A:$A,0)))),"●","")</f>
        <v/>
      </c>
      <c r="R46" s="30">
        <f>IF(ISNUMBER(SEARCH(R$3,INDEX(Exigences!$E:$E,MATCH($A46,Exigences!$A:$A,0)))),"●","")</f>
        <v/>
      </c>
      <c r="S46" s="30">
        <f>IF(ISNUMBER(SEARCH(S$3,INDEX(Exigences!$E:$E,MATCH($A46,Exigences!$A:$A,0)))),"●","")</f>
        <v/>
      </c>
      <c r="T46" s="30">
        <f>IF(ISNUMBER(SEARCH(T$3,INDEX(Exigences!$E:$E,MATCH($A46,Exigences!$A:$A,0)))),"●","")</f>
        <v/>
      </c>
      <c r="U46" s="30">
        <f>IF(ISNUMBER(SEARCH(U$3,INDEX(Exigences!$E:$E,MATCH($A46,Exigences!$A:$A,0)))),"●","")</f>
        <v/>
      </c>
      <c r="V46" s="30">
        <f>IF(ISNUMBER(SEARCH(V$3,INDEX(Exigences!$E:$E,MATCH($A46,Exigences!$A:$A,0)))),"●","")</f>
        <v/>
      </c>
      <c r="W46" s="30">
        <f>IF(ISNUMBER(SEARCH(W$3,INDEX(Exigences!$E:$E,MATCH($A46,Exigences!$A:$A,0)))),"●","")</f>
        <v/>
      </c>
      <c r="X46" s="30">
        <f>IF(ISNUMBER(SEARCH(X$3,INDEX(Exigences!$E:$E,MATCH($A46,Exigences!$A:$A,0)))),"●","")</f>
        <v/>
      </c>
      <c r="Y46" s="30">
        <f>COUNTIF(D46:X46,"●")</f>
        <v/>
      </c>
    </row>
    <row r="47" ht="15" customHeight="1" s="20">
      <c r="A47" s="29" t="inlineStr">
        <is>
          <t>D-C-07</t>
        </is>
      </c>
      <c r="B47" s="29">
        <f>INDEX(Exigences!$C:$C,MATCH(A47,Exigences!$A:$A,0))</f>
        <v/>
      </c>
      <c r="C47" s="25">
        <f>INDEX(Exigences!$D:$D,MATCH(A47,Exigences!$A:$A,0))</f>
        <v/>
      </c>
      <c r="D47" s="30">
        <f>IF(ISNUMBER(SEARCH(D$3,INDEX(Exigences!$E:$E,MATCH($A47,Exigences!$A:$A,0)))),"●","")</f>
        <v/>
      </c>
      <c r="E47" s="30">
        <f>IF(ISNUMBER(SEARCH(E$3,INDEX(Exigences!$E:$E,MATCH($A47,Exigences!$A:$A,0)))),"●","")</f>
        <v/>
      </c>
      <c r="F47" s="30">
        <f>IF(ISNUMBER(SEARCH(F$3,INDEX(Exigences!$E:$E,MATCH($A47,Exigences!$A:$A,0)))),"●","")</f>
        <v/>
      </c>
      <c r="G47" s="30">
        <f>IF(ISNUMBER(SEARCH(G$3,INDEX(Exigences!$E:$E,MATCH($A47,Exigences!$A:$A,0)))),"●","")</f>
        <v/>
      </c>
      <c r="H47" s="30">
        <f>IF(ISNUMBER(SEARCH(H$3,INDEX(Exigences!$E:$E,MATCH($A47,Exigences!$A:$A,0)))),"●","")</f>
        <v/>
      </c>
      <c r="I47" s="30">
        <f>IF(ISNUMBER(SEARCH(I$3,INDEX(Exigences!$E:$E,MATCH($A47,Exigences!$A:$A,0)))),"●","")</f>
        <v/>
      </c>
      <c r="J47" s="30">
        <f>IF(ISNUMBER(SEARCH(J$3,INDEX(Exigences!$E:$E,MATCH($A47,Exigences!$A:$A,0)))),"●","")</f>
        <v/>
      </c>
      <c r="K47" s="30">
        <f>IF(ISNUMBER(SEARCH(K$3,INDEX(Exigences!$E:$E,MATCH($A47,Exigences!$A:$A,0)))),"●","")</f>
        <v/>
      </c>
      <c r="L47" s="30">
        <f>IF(ISNUMBER(SEARCH(L$3,INDEX(Exigences!$E:$E,MATCH($A47,Exigences!$A:$A,0)))),"●","")</f>
        <v/>
      </c>
      <c r="M47" s="30">
        <f>IF(ISNUMBER(SEARCH(M$3,INDEX(Exigences!$E:$E,MATCH($A47,Exigences!$A:$A,0)))),"●","")</f>
        <v/>
      </c>
      <c r="N47" s="30">
        <f>IF(ISNUMBER(SEARCH(N$3,INDEX(Exigences!$E:$E,MATCH($A47,Exigences!$A:$A,0)))),"●","")</f>
        <v/>
      </c>
      <c r="O47" s="30">
        <f>IF(ISNUMBER(SEARCH(O$3,INDEX(Exigences!$E:$E,MATCH($A47,Exigences!$A:$A,0)))),"●","")</f>
        <v/>
      </c>
      <c r="P47" s="30">
        <f>IF(ISNUMBER(SEARCH(P$3,INDEX(Exigences!$E:$E,MATCH($A47,Exigences!$A:$A,0)))),"●","")</f>
        <v/>
      </c>
      <c r="Q47" s="30">
        <f>IF(ISNUMBER(SEARCH(Q$3,INDEX(Exigences!$E:$E,MATCH($A47,Exigences!$A:$A,0)))),"●","")</f>
        <v/>
      </c>
      <c r="R47" s="30">
        <f>IF(ISNUMBER(SEARCH(R$3,INDEX(Exigences!$E:$E,MATCH($A47,Exigences!$A:$A,0)))),"●","")</f>
        <v/>
      </c>
      <c r="S47" s="30">
        <f>IF(ISNUMBER(SEARCH(S$3,INDEX(Exigences!$E:$E,MATCH($A47,Exigences!$A:$A,0)))),"●","")</f>
        <v/>
      </c>
      <c r="T47" s="30">
        <f>IF(ISNUMBER(SEARCH(T$3,INDEX(Exigences!$E:$E,MATCH($A47,Exigences!$A:$A,0)))),"●","")</f>
        <v/>
      </c>
      <c r="U47" s="30">
        <f>IF(ISNUMBER(SEARCH(U$3,INDEX(Exigences!$E:$E,MATCH($A47,Exigences!$A:$A,0)))),"●","")</f>
        <v/>
      </c>
      <c r="V47" s="30">
        <f>IF(ISNUMBER(SEARCH(V$3,INDEX(Exigences!$E:$E,MATCH($A47,Exigences!$A:$A,0)))),"●","")</f>
        <v/>
      </c>
      <c r="W47" s="30">
        <f>IF(ISNUMBER(SEARCH(W$3,INDEX(Exigences!$E:$E,MATCH($A47,Exigences!$A:$A,0)))),"●","")</f>
        <v/>
      </c>
      <c r="X47" s="30">
        <f>IF(ISNUMBER(SEARCH(X$3,INDEX(Exigences!$E:$E,MATCH($A47,Exigences!$A:$A,0)))),"●","")</f>
        <v/>
      </c>
      <c r="Y47" s="30">
        <f>COUNTIF(D47:X47,"●")</f>
        <v/>
      </c>
    </row>
    <row r="48" ht="15" customHeight="1" s="20">
      <c r="A48" s="29" t="inlineStr">
        <is>
          <t>D-D-01</t>
        </is>
      </c>
      <c r="B48" s="29">
        <f>INDEX(Exigences!$C:$C,MATCH(A48,Exigences!$A:$A,0))</f>
        <v/>
      </c>
      <c r="C48" s="25">
        <f>INDEX(Exigences!$D:$D,MATCH(A48,Exigences!$A:$A,0))</f>
        <v/>
      </c>
      <c r="D48" s="30">
        <f>IF(ISNUMBER(SEARCH(D$3,INDEX(Exigences!$E:$E,MATCH($A48,Exigences!$A:$A,0)))),"●","")</f>
        <v/>
      </c>
      <c r="E48" s="30">
        <f>IF(ISNUMBER(SEARCH(E$3,INDEX(Exigences!$E:$E,MATCH($A48,Exigences!$A:$A,0)))),"●","")</f>
        <v/>
      </c>
      <c r="F48" s="30">
        <f>IF(ISNUMBER(SEARCH(F$3,INDEX(Exigences!$E:$E,MATCH($A48,Exigences!$A:$A,0)))),"●","")</f>
        <v/>
      </c>
      <c r="G48" s="30">
        <f>IF(ISNUMBER(SEARCH(G$3,INDEX(Exigences!$E:$E,MATCH($A48,Exigences!$A:$A,0)))),"●","")</f>
        <v/>
      </c>
      <c r="H48" s="30">
        <f>IF(ISNUMBER(SEARCH(H$3,INDEX(Exigences!$E:$E,MATCH($A48,Exigences!$A:$A,0)))),"●","")</f>
        <v/>
      </c>
      <c r="I48" s="30">
        <f>IF(ISNUMBER(SEARCH(I$3,INDEX(Exigences!$E:$E,MATCH($A48,Exigences!$A:$A,0)))),"●","")</f>
        <v/>
      </c>
      <c r="J48" s="30">
        <f>IF(ISNUMBER(SEARCH(J$3,INDEX(Exigences!$E:$E,MATCH($A48,Exigences!$A:$A,0)))),"●","")</f>
        <v/>
      </c>
      <c r="K48" s="30">
        <f>IF(ISNUMBER(SEARCH(K$3,INDEX(Exigences!$E:$E,MATCH($A48,Exigences!$A:$A,0)))),"●","")</f>
        <v/>
      </c>
      <c r="L48" s="30">
        <f>IF(ISNUMBER(SEARCH(L$3,INDEX(Exigences!$E:$E,MATCH($A48,Exigences!$A:$A,0)))),"●","")</f>
        <v/>
      </c>
      <c r="M48" s="30">
        <f>IF(ISNUMBER(SEARCH(M$3,INDEX(Exigences!$E:$E,MATCH($A48,Exigences!$A:$A,0)))),"●","")</f>
        <v/>
      </c>
      <c r="N48" s="30">
        <f>IF(ISNUMBER(SEARCH(N$3,INDEX(Exigences!$E:$E,MATCH($A48,Exigences!$A:$A,0)))),"●","")</f>
        <v/>
      </c>
      <c r="O48" s="30">
        <f>IF(ISNUMBER(SEARCH(O$3,INDEX(Exigences!$E:$E,MATCH($A48,Exigences!$A:$A,0)))),"●","")</f>
        <v/>
      </c>
      <c r="P48" s="30">
        <f>IF(ISNUMBER(SEARCH(P$3,INDEX(Exigences!$E:$E,MATCH($A48,Exigences!$A:$A,0)))),"●","")</f>
        <v/>
      </c>
      <c r="Q48" s="30">
        <f>IF(ISNUMBER(SEARCH(Q$3,INDEX(Exigences!$E:$E,MATCH($A48,Exigences!$A:$A,0)))),"●","")</f>
        <v/>
      </c>
      <c r="R48" s="30">
        <f>IF(ISNUMBER(SEARCH(R$3,INDEX(Exigences!$E:$E,MATCH($A48,Exigences!$A:$A,0)))),"●","")</f>
        <v/>
      </c>
      <c r="S48" s="30">
        <f>IF(ISNUMBER(SEARCH(S$3,INDEX(Exigences!$E:$E,MATCH($A48,Exigences!$A:$A,0)))),"●","")</f>
        <v/>
      </c>
      <c r="T48" s="30">
        <f>IF(ISNUMBER(SEARCH(T$3,INDEX(Exigences!$E:$E,MATCH($A48,Exigences!$A:$A,0)))),"●","")</f>
        <v/>
      </c>
      <c r="U48" s="30">
        <f>IF(ISNUMBER(SEARCH(U$3,INDEX(Exigences!$E:$E,MATCH($A48,Exigences!$A:$A,0)))),"●","")</f>
        <v/>
      </c>
      <c r="V48" s="30">
        <f>IF(ISNUMBER(SEARCH(V$3,INDEX(Exigences!$E:$E,MATCH($A48,Exigences!$A:$A,0)))),"●","")</f>
        <v/>
      </c>
      <c r="W48" s="30">
        <f>IF(ISNUMBER(SEARCH(W$3,INDEX(Exigences!$E:$E,MATCH($A48,Exigences!$A:$A,0)))),"●","")</f>
        <v/>
      </c>
      <c r="X48" s="30">
        <f>IF(ISNUMBER(SEARCH(X$3,INDEX(Exigences!$E:$E,MATCH($A48,Exigences!$A:$A,0)))),"●","")</f>
        <v/>
      </c>
      <c r="Y48" s="30">
        <f>COUNTIF(D48:X48,"●")</f>
        <v/>
      </c>
    </row>
    <row r="49" ht="15" customHeight="1" s="20">
      <c r="A49" s="29" t="inlineStr">
        <is>
          <t>D-D-02</t>
        </is>
      </c>
      <c r="B49" s="29">
        <f>INDEX(Exigences!$C:$C,MATCH(A49,Exigences!$A:$A,0))</f>
        <v/>
      </c>
      <c r="C49" s="25">
        <f>INDEX(Exigences!$D:$D,MATCH(A49,Exigences!$A:$A,0))</f>
        <v/>
      </c>
      <c r="D49" s="30">
        <f>IF(ISNUMBER(SEARCH(D$3,INDEX(Exigences!$E:$E,MATCH($A49,Exigences!$A:$A,0)))),"●","")</f>
        <v/>
      </c>
      <c r="E49" s="30">
        <f>IF(ISNUMBER(SEARCH(E$3,INDEX(Exigences!$E:$E,MATCH($A49,Exigences!$A:$A,0)))),"●","")</f>
        <v/>
      </c>
      <c r="F49" s="30">
        <f>IF(ISNUMBER(SEARCH(F$3,INDEX(Exigences!$E:$E,MATCH($A49,Exigences!$A:$A,0)))),"●","")</f>
        <v/>
      </c>
      <c r="G49" s="30">
        <f>IF(ISNUMBER(SEARCH(G$3,INDEX(Exigences!$E:$E,MATCH($A49,Exigences!$A:$A,0)))),"●","")</f>
        <v/>
      </c>
      <c r="H49" s="30">
        <f>IF(ISNUMBER(SEARCH(H$3,INDEX(Exigences!$E:$E,MATCH($A49,Exigences!$A:$A,0)))),"●","")</f>
        <v/>
      </c>
      <c r="I49" s="30">
        <f>IF(ISNUMBER(SEARCH(I$3,INDEX(Exigences!$E:$E,MATCH($A49,Exigences!$A:$A,0)))),"●","")</f>
        <v/>
      </c>
      <c r="J49" s="30">
        <f>IF(ISNUMBER(SEARCH(J$3,INDEX(Exigences!$E:$E,MATCH($A49,Exigences!$A:$A,0)))),"●","")</f>
        <v/>
      </c>
      <c r="K49" s="30">
        <f>IF(ISNUMBER(SEARCH(K$3,INDEX(Exigences!$E:$E,MATCH($A49,Exigences!$A:$A,0)))),"●","")</f>
        <v/>
      </c>
      <c r="L49" s="30">
        <f>IF(ISNUMBER(SEARCH(L$3,INDEX(Exigences!$E:$E,MATCH($A49,Exigences!$A:$A,0)))),"●","")</f>
        <v/>
      </c>
      <c r="M49" s="30">
        <f>IF(ISNUMBER(SEARCH(M$3,INDEX(Exigences!$E:$E,MATCH($A49,Exigences!$A:$A,0)))),"●","")</f>
        <v/>
      </c>
      <c r="N49" s="30">
        <f>IF(ISNUMBER(SEARCH(N$3,INDEX(Exigences!$E:$E,MATCH($A49,Exigences!$A:$A,0)))),"●","")</f>
        <v/>
      </c>
      <c r="O49" s="30">
        <f>IF(ISNUMBER(SEARCH(O$3,INDEX(Exigences!$E:$E,MATCH($A49,Exigences!$A:$A,0)))),"●","")</f>
        <v/>
      </c>
      <c r="P49" s="30">
        <f>IF(ISNUMBER(SEARCH(P$3,INDEX(Exigences!$E:$E,MATCH($A49,Exigences!$A:$A,0)))),"●","")</f>
        <v/>
      </c>
      <c r="Q49" s="30">
        <f>IF(ISNUMBER(SEARCH(Q$3,INDEX(Exigences!$E:$E,MATCH($A49,Exigences!$A:$A,0)))),"●","")</f>
        <v/>
      </c>
      <c r="R49" s="30">
        <f>IF(ISNUMBER(SEARCH(R$3,INDEX(Exigences!$E:$E,MATCH($A49,Exigences!$A:$A,0)))),"●","")</f>
        <v/>
      </c>
      <c r="S49" s="30">
        <f>IF(ISNUMBER(SEARCH(S$3,INDEX(Exigences!$E:$E,MATCH($A49,Exigences!$A:$A,0)))),"●","")</f>
        <v/>
      </c>
      <c r="T49" s="30">
        <f>IF(ISNUMBER(SEARCH(T$3,INDEX(Exigences!$E:$E,MATCH($A49,Exigences!$A:$A,0)))),"●","")</f>
        <v/>
      </c>
      <c r="U49" s="30">
        <f>IF(ISNUMBER(SEARCH(U$3,INDEX(Exigences!$E:$E,MATCH($A49,Exigences!$A:$A,0)))),"●","")</f>
        <v/>
      </c>
      <c r="V49" s="30">
        <f>IF(ISNUMBER(SEARCH(V$3,INDEX(Exigences!$E:$E,MATCH($A49,Exigences!$A:$A,0)))),"●","")</f>
        <v/>
      </c>
      <c r="W49" s="30">
        <f>IF(ISNUMBER(SEARCH(W$3,INDEX(Exigences!$E:$E,MATCH($A49,Exigences!$A:$A,0)))),"●","")</f>
        <v/>
      </c>
      <c r="X49" s="30">
        <f>IF(ISNUMBER(SEARCH(X$3,INDEX(Exigences!$E:$E,MATCH($A49,Exigences!$A:$A,0)))),"●","")</f>
        <v/>
      </c>
      <c r="Y49" s="30">
        <f>COUNTIF(D49:X49,"●")</f>
        <v/>
      </c>
    </row>
    <row r="50" ht="15" customHeight="1" s="20">
      <c r="A50" s="29" t="inlineStr">
        <is>
          <t>D-D-03</t>
        </is>
      </c>
      <c r="B50" s="29">
        <f>INDEX(Exigences!$C:$C,MATCH(A50,Exigences!$A:$A,0))</f>
        <v/>
      </c>
      <c r="C50" s="25">
        <f>INDEX(Exigences!$D:$D,MATCH(A50,Exigences!$A:$A,0))</f>
        <v/>
      </c>
      <c r="D50" s="30">
        <f>IF(ISNUMBER(SEARCH(D$3,INDEX(Exigences!$E:$E,MATCH($A50,Exigences!$A:$A,0)))),"●","")</f>
        <v/>
      </c>
      <c r="E50" s="30">
        <f>IF(ISNUMBER(SEARCH(E$3,INDEX(Exigences!$E:$E,MATCH($A50,Exigences!$A:$A,0)))),"●","")</f>
        <v/>
      </c>
      <c r="F50" s="30">
        <f>IF(ISNUMBER(SEARCH(F$3,INDEX(Exigences!$E:$E,MATCH($A50,Exigences!$A:$A,0)))),"●","")</f>
        <v/>
      </c>
      <c r="G50" s="30">
        <f>IF(ISNUMBER(SEARCH(G$3,INDEX(Exigences!$E:$E,MATCH($A50,Exigences!$A:$A,0)))),"●","")</f>
        <v/>
      </c>
      <c r="H50" s="30">
        <f>IF(ISNUMBER(SEARCH(H$3,INDEX(Exigences!$E:$E,MATCH($A50,Exigences!$A:$A,0)))),"●","")</f>
        <v/>
      </c>
      <c r="I50" s="30">
        <f>IF(ISNUMBER(SEARCH(I$3,INDEX(Exigences!$E:$E,MATCH($A50,Exigences!$A:$A,0)))),"●","")</f>
        <v/>
      </c>
      <c r="J50" s="30">
        <f>IF(ISNUMBER(SEARCH(J$3,INDEX(Exigences!$E:$E,MATCH($A50,Exigences!$A:$A,0)))),"●","")</f>
        <v/>
      </c>
      <c r="K50" s="30">
        <f>IF(ISNUMBER(SEARCH(K$3,INDEX(Exigences!$E:$E,MATCH($A50,Exigences!$A:$A,0)))),"●","")</f>
        <v/>
      </c>
      <c r="L50" s="30">
        <f>IF(ISNUMBER(SEARCH(L$3,INDEX(Exigences!$E:$E,MATCH($A50,Exigences!$A:$A,0)))),"●","")</f>
        <v/>
      </c>
      <c r="M50" s="30">
        <f>IF(ISNUMBER(SEARCH(M$3,INDEX(Exigences!$E:$E,MATCH($A50,Exigences!$A:$A,0)))),"●","")</f>
        <v/>
      </c>
      <c r="N50" s="30">
        <f>IF(ISNUMBER(SEARCH(N$3,INDEX(Exigences!$E:$E,MATCH($A50,Exigences!$A:$A,0)))),"●","")</f>
        <v/>
      </c>
      <c r="O50" s="30">
        <f>IF(ISNUMBER(SEARCH(O$3,INDEX(Exigences!$E:$E,MATCH($A50,Exigences!$A:$A,0)))),"●","")</f>
        <v/>
      </c>
      <c r="P50" s="30">
        <f>IF(ISNUMBER(SEARCH(P$3,INDEX(Exigences!$E:$E,MATCH($A50,Exigences!$A:$A,0)))),"●","")</f>
        <v/>
      </c>
      <c r="Q50" s="30">
        <f>IF(ISNUMBER(SEARCH(Q$3,INDEX(Exigences!$E:$E,MATCH($A50,Exigences!$A:$A,0)))),"●","")</f>
        <v/>
      </c>
      <c r="R50" s="30">
        <f>IF(ISNUMBER(SEARCH(R$3,INDEX(Exigences!$E:$E,MATCH($A50,Exigences!$A:$A,0)))),"●","")</f>
        <v/>
      </c>
      <c r="S50" s="30">
        <f>IF(ISNUMBER(SEARCH(S$3,INDEX(Exigences!$E:$E,MATCH($A50,Exigences!$A:$A,0)))),"●","")</f>
        <v/>
      </c>
      <c r="T50" s="30">
        <f>IF(ISNUMBER(SEARCH(T$3,INDEX(Exigences!$E:$E,MATCH($A50,Exigences!$A:$A,0)))),"●","")</f>
        <v/>
      </c>
      <c r="U50" s="30">
        <f>IF(ISNUMBER(SEARCH(U$3,INDEX(Exigences!$E:$E,MATCH($A50,Exigences!$A:$A,0)))),"●","")</f>
        <v/>
      </c>
      <c r="V50" s="30">
        <f>IF(ISNUMBER(SEARCH(V$3,INDEX(Exigences!$E:$E,MATCH($A50,Exigences!$A:$A,0)))),"●","")</f>
        <v/>
      </c>
      <c r="W50" s="30">
        <f>IF(ISNUMBER(SEARCH(W$3,INDEX(Exigences!$E:$E,MATCH($A50,Exigences!$A:$A,0)))),"●","")</f>
        <v/>
      </c>
      <c r="X50" s="30">
        <f>IF(ISNUMBER(SEARCH(X$3,INDEX(Exigences!$E:$E,MATCH($A50,Exigences!$A:$A,0)))),"●","")</f>
        <v/>
      </c>
      <c r="Y50" s="30">
        <f>COUNTIF(D50:X50,"●")</f>
        <v/>
      </c>
    </row>
    <row r="51" ht="15" customHeight="1" s="20">
      <c r="A51" s="29" t="inlineStr">
        <is>
          <t>D-D-04</t>
        </is>
      </c>
      <c r="B51" s="29">
        <f>INDEX(Exigences!$C:$C,MATCH(A51,Exigences!$A:$A,0))</f>
        <v/>
      </c>
      <c r="C51" s="25">
        <f>INDEX(Exigences!$D:$D,MATCH(A51,Exigences!$A:$A,0))</f>
        <v/>
      </c>
      <c r="D51" s="30">
        <f>IF(ISNUMBER(SEARCH(D$3,INDEX(Exigences!$E:$E,MATCH($A51,Exigences!$A:$A,0)))),"●","")</f>
        <v/>
      </c>
      <c r="E51" s="30">
        <f>IF(ISNUMBER(SEARCH(E$3,INDEX(Exigences!$E:$E,MATCH($A51,Exigences!$A:$A,0)))),"●","")</f>
        <v/>
      </c>
      <c r="F51" s="30">
        <f>IF(ISNUMBER(SEARCH(F$3,INDEX(Exigences!$E:$E,MATCH($A51,Exigences!$A:$A,0)))),"●","")</f>
        <v/>
      </c>
      <c r="G51" s="30">
        <f>IF(ISNUMBER(SEARCH(G$3,INDEX(Exigences!$E:$E,MATCH($A51,Exigences!$A:$A,0)))),"●","")</f>
        <v/>
      </c>
      <c r="H51" s="30">
        <f>IF(ISNUMBER(SEARCH(H$3,INDEX(Exigences!$E:$E,MATCH($A51,Exigences!$A:$A,0)))),"●","")</f>
        <v/>
      </c>
      <c r="I51" s="30">
        <f>IF(ISNUMBER(SEARCH(I$3,INDEX(Exigences!$E:$E,MATCH($A51,Exigences!$A:$A,0)))),"●","")</f>
        <v/>
      </c>
      <c r="J51" s="30">
        <f>IF(ISNUMBER(SEARCH(J$3,INDEX(Exigences!$E:$E,MATCH($A51,Exigences!$A:$A,0)))),"●","")</f>
        <v/>
      </c>
      <c r="K51" s="30">
        <f>IF(ISNUMBER(SEARCH(K$3,INDEX(Exigences!$E:$E,MATCH($A51,Exigences!$A:$A,0)))),"●","")</f>
        <v/>
      </c>
      <c r="L51" s="30">
        <f>IF(ISNUMBER(SEARCH(L$3,INDEX(Exigences!$E:$E,MATCH($A51,Exigences!$A:$A,0)))),"●","")</f>
        <v/>
      </c>
      <c r="M51" s="30">
        <f>IF(ISNUMBER(SEARCH(M$3,INDEX(Exigences!$E:$E,MATCH($A51,Exigences!$A:$A,0)))),"●","")</f>
        <v/>
      </c>
      <c r="N51" s="30">
        <f>IF(ISNUMBER(SEARCH(N$3,INDEX(Exigences!$E:$E,MATCH($A51,Exigences!$A:$A,0)))),"●","")</f>
        <v/>
      </c>
      <c r="O51" s="30">
        <f>IF(ISNUMBER(SEARCH(O$3,INDEX(Exigences!$E:$E,MATCH($A51,Exigences!$A:$A,0)))),"●","")</f>
        <v/>
      </c>
      <c r="P51" s="30">
        <f>IF(ISNUMBER(SEARCH(P$3,INDEX(Exigences!$E:$E,MATCH($A51,Exigences!$A:$A,0)))),"●","")</f>
        <v/>
      </c>
      <c r="Q51" s="30">
        <f>IF(ISNUMBER(SEARCH(Q$3,INDEX(Exigences!$E:$E,MATCH($A51,Exigences!$A:$A,0)))),"●","")</f>
        <v/>
      </c>
      <c r="R51" s="30">
        <f>IF(ISNUMBER(SEARCH(R$3,INDEX(Exigences!$E:$E,MATCH($A51,Exigences!$A:$A,0)))),"●","")</f>
        <v/>
      </c>
      <c r="S51" s="30">
        <f>IF(ISNUMBER(SEARCH(S$3,INDEX(Exigences!$E:$E,MATCH($A51,Exigences!$A:$A,0)))),"●","")</f>
        <v/>
      </c>
      <c r="T51" s="30">
        <f>IF(ISNUMBER(SEARCH(T$3,INDEX(Exigences!$E:$E,MATCH($A51,Exigences!$A:$A,0)))),"●","")</f>
        <v/>
      </c>
      <c r="U51" s="30">
        <f>IF(ISNUMBER(SEARCH(U$3,INDEX(Exigences!$E:$E,MATCH($A51,Exigences!$A:$A,0)))),"●","")</f>
        <v/>
      </c>
      <c r="V51" s="30">
        <f>IF(ISNUMBER(SEARCH(V$3,INDEX(Exigences!$E:$E,MATCH($A51,Exigences!$A:$A,0)))),"●","")</f>
        <v/>
      </c>
      <c r="W51" s="30">
        <f>IF(ISNUMBER(SEARCH(W$3,INDEX(Exigences!$E:$E,MATCH($A51,Exigences!$A:$A,0)))),"●","")</f>
        <v/>
      </c>
      <c r="X51" s="30">
        <f>IF(ISNUMBER(SEARCH(X$3,INDEX(Exigences!$E:$E,MATCH($A51,Exigences!$A:$A,0)))),"●","")</f>
        <v/>
      </c>
      <c r="Y51" s="30">
        <f>COUNTIF(D51:X51,"●")</f>
        <v/>
      </c>
    </row>
    <row r="52" ht="15" customHeight="1" s="20">
      <c r="A52" s="29" t="inlineStr">
        <is>
          <t>D-D-05</t>
        </is>
      </c>
      <c r="B52" s="29">
        <f>INDEX(Exigences!$C:$C,MATCH(A52,Exigences!$A:$A,0))</f>
        <v/>
      </c>
      <c r="C52" s="25">
        <f>INDEX(Exigences!$D:$D,MATCH(A52,Exigences!$A:$A,0))</f>
        <v/>
      </c>
      <c r="D52" s="30">
        <f>IF(ISNUMBER(SEARCH(D$3,INDEX(Exigences!$E:$E,MATCH($A52,Exigences!$A:$A,0)))),"●","")</f>
        <v/>
      </c>
      <c r="E52" s="30">
        <f>IF(ISNUMBER(SEARCH(E$3,INDEX(Exigences!$E:$E,MATCH($A52,Exigences!$A:$A,0)))),"●","")</f>
        <v/>
      </c>
      <c r="F52" s="30">
        <f>IF(ISNUMBER(SEARCH(F$3,INDEX(Exigences!$E:$E,MATCH($A52,Exigences!$A:$A,0)))),"●","")</f>
        <v/>
      </c>
      <c r="G52" s="30">
        <f>IF(ISNUMBER(SEARCH(G$3,INDEX(Exigences!$E:$E,MATCH($A52,Exigences!$A:$A,0)))),"●","")</f>
        <v/>
      </c>
      <c r="H52" s="30">
        <f>IF(ISNUMBER(SEARCH(H$3,INDEX(Exigences!$E:$E,MATCH($A52,Exigences!$A:$A,0)))),"●","")</f>
        <v/>
      </c>
      <c r="I52" s="30">
        <f>IF(ISNUMBER(SEARCH(I$3,INDEX(Exigences!$E:$E,MATCH($A52,Exigences!$A:$A,0)))),"●","")</f>
        <v/>
      </c>
      <c r="J52" s="30">
        <f>IF(ISNUMBER(SEARCH(J$3,INDEX(Exigences!$E:$E,MATCH($A52,Exigences!$A:$A,0)))),"●","")</f>
        <v/>
      </c>
      <c r="K52" s="30">
        <f>IF(ISNUMBER(SEARCH(K$3,INDEX(Exigences!$E:$E,MATCH($A52,Exigences!$A:$A,0)))),"●","")</f>
        <v/>
      </c>
      <c r="L52" s="30">
        <f>IF(ISNUMBER(SEARCH(L$3,INDEX(Exigences!$E:$E,MATCH($A52,Exigences!$A:$A,0)))),"●","")</f>
        <v/>
      </c>
      <c r="M52" s="30">
        <f>IF(ISNUMBER(SEARCH(M$3,INDEX(Exigences!$E:$E,MATCH($A52,Exigences!$A:$A,0)))),"●","")</f>
        <v/>
      </c>
      <c r="N52" s="30">
        <f>IF(ISNUMBER(SEARCH(N$3,INDEX(Exigences!$E:$E,MATCH($A52,Exigences!$A:$A,0)))),"●","")</f>
        <v/>
      </c>
      <c r="O52" s="30">
        <f>IF(ISNUMBER(SEARCH(O$3,INDEX(Exigences!$E:$E,MATCH($A52,Exigences!$A:$A,0)))),"●","")</f>
        <v/>
      </c>
      <c r="P52" s="30">
        <f>IF(ISNUMBER(SEARCH(P$3,INDEX(Exigences!$E:$E,MATCH($A52,Exigences!$A:$A,0)))),"●","")</f>
        <v/>
      </c>
      <c r="Q52" s="30">
        <f>IF(ISNUMBER(SEARCH(Q$3,INDEX(Exigences!$E:$E,MATCH($A52,Exigences!$A:$A,0)))),"●","")</f>
        <v/>
      </c>
      <c r="R52" s="30">
        <f>IF(ISNUMBER(SEARCH(R$3,INDEX(Exigences!$E:$E,MATCH($A52,Exigences!$A:$A,0)))),"●","")</f>
        <v/>
      </c>
      <c r="S52" s="30">
        <f>IF(ISNUMBER(SEARCH(S$3,INDEX(Exigences!$E:$E,MATCH($A52,Exigences!$A:$A,0)))),"●","")</f>
        <v/>
      </c>
      <c r="T52" s="30">
        <f>IF(ISNUMBER(SEARCH(T$3,INDEX(Exigences!$E:$E,MATCH($A52,Exigences!$A:$A,0)))),"●","")</f>
        <v/>
      </c>
      <c r="U52" s="30">
        <f>IF(ISNUMBER(SEARCH(U$3,INDEX(Exigences!$E:$E,MATCH($A52,Exigences!$A:$A,0)))),"●","")</f>
        <v/>
      </c>
      <c r="V52" s="30">
        <f>IF(ISNUMBER(SEARCH(V$3,INDEX(Exigences!$E:$E,MATCH($A52,Exigences!$A:$A,0)))),"●","")</f>
        <v/>
      </c>
      <c r="W52" s="30">
        <f>IF(ISNUMBER(SEARCH(W$3,INDEX(Exigences!$E:$E,MATCH($A52,Exigences!$A:$A,0)))),"●","")</f>
        <v/>
      </c>
      <c r="X52" s="30">
        <f>IF(ISNUMBER(SEARCH(X$3,INDEX(Exigences!$E:$E,MATCH($A52,Exigences!$A:$A,0)))),"●","")</f>
        <v/>
      </c>
      <c r="Y52" s="30">
        <f>COUNTIF(D52:X52,"●")</f>
        <v/>
      </c>
    </row>
    <row r="53" ht="15" customHeight="1" s="20">
      <c r="A53" s="29" t="inlineStr">
        <is>
          <t>D-D-06</t>
        </is>
      </c>
      <c r="B53" s="29">
        <f>INDEX(Exigences!$C:$C,MATCH(A53,Exigences!$A:$A,0))</f>
        <v/>
      </c>
      <c r="C53" s="25">
        <f>INDEX(Exigences!$D:$D,MATCH(A53,Exigences!$A:$A,0))</f>
        <v/>
      </c>
      <c r="D53" s="30">
        <f>IF(ISNUMBER(SEARCH(D$3,INDEX(Exigences!$E:$E,MATCH($A53,Exigences!$A:$A,0)))),"●","")</f>
        <v/>
      </c>
      <c r="E53" s="30">
        <f>IF(ISNUMBER(SEARCH(E$3,INDEX(Exigences!$E:$E,MATCH($A53,Exigences!$A:$A,0)))),"●","")</f>
        <v/>
      </c>
      <c r="F53" s="30">
        <f>IF(ISNUMBER(SEARCH(F$3,INDEX(Exigences!$E:$E,MATCH($A53,Exigences!$A:$A,0)))),"●","")</f>
        <v/>
      </c>
      <c r="G53" s="30">
        <f>IF(ISNUMBER(SEARCH(G$3,INDEX(Exigences!$E:$E,MATCH($A53,Exigences!$A:$A,0)))),"●","")</f>
        <v/>
      </c>
      <c r="H53" s="30">
        <f>IF(ISNUMBER(SEARCH(H$3,INDEX(Exigences!$E:$E,MATCH($A53,Exigences!$A:$A,0)))),"●","")</f>
        <v/>
      </c>
      <c r="I53" s="30">
        <f>IF(ISNUMBER(SEARCH(I$3,INDEX(Exigences!$E:$E,MATCH($A53,Exigences!$A:$A,0)))),"●","")</f>
        <v/>
      </c>
      <c r="J53" s="30">
        <f>IF(ISNUMBER(SEARCH(J$3,INDEX(Exigences!$E:$E,MATCH($A53,Exigences!$A:$A,0)))),"●","")</f>
        <v/>
      </c>
      <c r="K53" s="30">
        <f>IF(ISNUMBER(SEARCH(K$3,INDEX(Exigences!$E:$E,MATCH($A53,Exigences!$A:$A,0)))),"●","")</f>
        <v/>
      </c>
      <c r="L53" s="30">
        <f>IF(ISNUMBER(SEARCH(L$3,INDEX(Exigences!$E:$E,MATCH($A53,Exigences!$A:$A,0)))),"●","")</f>
        <v/>
      </c>
      <c r="M53" s="30">
        <f>IF(ISNUMBER(SEARCH(M$3,INDEX(Exigences!$E:$E,MATCH($A53,Exigences!$A:$A,0)))),"●","")</f>
        <v/>
      </c>
      <c r="N53" s="30">
        <f>IF(ISNUMBER(SEARCH(N$3,INDEX(Exigences!$E:$E,MATCH($A53,Exigences!$A:$A,0)))),"●","")</f>
        <v/>
      </c>
      <c r="O53" s="30">
        <f>IF(ISNUMBER(SEARCH(O$3,INDEX(Exigences!$E:$E,MATCH($A53,Exigences!$A:$A,0)))),"●","")</f>
        <v/>
      </c>
      <c r="P53" s="30">
        <f>IF(ISNUMBER(SEARCH(P$3,INDEX(Exigences!$E:$E,MATCH($A53,Exigences!$A:$A,0)))),"●","")</f>
        <v/>
      </c>
      <c r="Q53" s="30">
        <f>IF(ISNUMBER(SEARCH(Q$3,INDEX(Exigences!$E:$E,MATCH($A53,Exigences!$A:$A,0)))),"●","")</f>
        <v/>
      </c>
      <c r="R53" s="30">
        <f>IF(ISNUMBER(SEARCH(R$3,INDEX(Exigences!$E:$E,MATCH($A53,Exigences!$A:$A,0)))),"●","")</f>
        <v/>
      </c>
      <c r="S53" s="30">
        <f>IF(ISNUMBER(SEARCH(S$3,INDEX(Exigences!$E:$E,MATCH($A53,Exigences!$A:$A,0)))),"●","")</f>
        <v/>
      </c>
      <c r="T53" s="30">
        <f>IF(ISNUMBER(SEARCH(T$3,INDEX(Exigences!$E:$E,MATCH($A53,Exigences!$A:$A,0)))),"●","")</f>
        <v/>
      </c>
      <c r="U53" s="30">
        <f>IF(ISNUMBER(SEARCH(U$3,INDEX(Exigences!$E:$E,MATCH($A53,Exigences!$A:$A,0)))),"●","")</f>
        <v/>
      </c>
      <c r="V53" s="30">
        <f>IF(ISNUMBER(SEARCH(V$3,INDEX(Exigences!$E:$E,MATCH($A53,Exigences!$A:$A,0)))),"●","")</f>
        <v/>
      </c>
      <c r="W53" s="30">
        <f>IF(ISNUMBER(SEARCH(W$3,INDEX(Exigences!$E:$E,MATCH($A53,Exigences!$A:$A,0)))),"●","")</f>
        <v/>
      </c>
      <c r="X53" s="30">
        <f>IF(ISNUMBER(SEARCH(X$3,INDEX(Exigences!$E:$E,MATCH($A53,Exigences!$A:$A,0)))),"●","")</f>
        <v/>
      </c>
      <c r="Y53" s="30">
        <f>COUNTIF(D53:X53,"●")</f>
        <v/>
      </c>
    </row>
    <row r="54" ht="15" customHeight="1" s="20">
      <c r="A54" s="29" t="inlineStr">
        <is>
          <t>D-D-07</t>
        </is>
      </c>
      <c r="B54" s="29">
        <f>INDEX(Exigences!$C:$C,MATCH(A54,Exigences!$A:$A,0))</f>
        <v/>
      </c>
      <c r="C54" s="25">
        <f>INDEX(Exigences!$D:$D,MATCH(A54,Exigences!$A:$A,0))</f>
        <v/>
      </c>
      <c r="D54" s="30">
        <f>IF(ISNUMBER(SEARCH(D$3,INDEX(Exigences!$E:$E,MATCH($A54,Exigences!$A:$A,0)))),"●","")</f>
        <v/>
      </c>
      <c r="E54" s="30">
        <f>IF(ISNUMBER(SEARCH(E$3,INDEX(Exigences!$E:$E,MATCH($A54,Exigences!$A:$A,0)))),"●","")</f>
        <v/>
      </c>
      <c r="F54" s="30">
        <f>IF(ISNUMBER(SEARCH(F$3,INDEX(Exigences!$E:$E,MATCH($A54,Exigences!$A:$A,0)))),"●","")</f>
        <v/>
      </c>
      <c r="G54" s="30">
        <f>IF(ISNUMBER(SEARCH(G$3,INDEX(Exigences!$E:$E,MATCH($A54,Exigences!$A:$A,0)))),"●","")</f>
        <v/>
      </c>
      <c r="H54" s="30">
        <f>IF(ISNUMBER(SEARCH(H$3,INDEX(Exigences!$E:$E,MATCH($A54,Exigences!$A:$A,0)))),"●","")</f>
        <v/>
      </c>
      <c r="I54" s="30">
        <f>IF(ISNUMBER(SEARCH(I$3,INDEX(Exigences!$E:$E,MATCH($A54,Exigences!$A:$A,0)))),"●","")</f>
        <v/>
      </c>
      <c r="J54" s="30">
        <f>IF(ISNUMBER(SEARCH(J$3,INDEX(Exigences!$E:$E,MATCH($A54,Exigences!$A:$A,0)))),"●","")</f>
        <v/>
      </c>
      <c r="K54" s="30">
        <f>IF(ISNUMBER(SEARCH(K$3,INDEX(Exigences!$E:$E,MATCH($A54,Exigences!$A:$A,0)))),"●","")</f>
        <v/>
      </c>
      <c r="L54" s="30">
        <f>IF(ISNUMBER(SEARCH(L$3,INDEX(Exigences!$E:$E,MATCH($A54,Exigences!$A:$A,0)))),"●","")</f>
        <v/>
      </c>
      <c r="M54" s="30">
        <f>IF(ISNUMBER(SEARCH(M$3,INDEX(Exigences!$E:$E,MATCH($A54,Exigences!$A:$A,0)))),"●","")</f>
        <v/>
      </c>
      <c r="N54" s="30">
        <f>IF(ISNUMBER(SEARCH(N$3,INDEX(Exigences!$E:$E,MATCH($A54,Exigences!$A:$A,0)))),"●","")</f>
        <v/>
      </c>
      <c r="O54" s="30">
        <f>IF(ISNUMBER(SEARCH(O$3,INDEX(Exigences!$E:$E,MATCH($A54,Exigences!$A:$A,0)))),"●","")</f>
        <v/>
      </c>
      <c r="P54" s="30">
        <f>IF(ISNUMBER(SEARCH(P$3,INDEX(Exigences!$E:$E,MATCH($A54,Exigences!$A:$A,0)))),"●","")</f>
        <v/>
      </c>
      <c r="Q54" s="30">
        <f>IF(ISNUMBER(SEARCH(Q$3,INDEX(Exigences!$E:$E,MATCH($A54,Exigences!$A:$A,0)))),"●","")</f>
        <v/>
      </c>
      <c r="R54" s="30">
        <f>IF(ISNUMBER(SEARCH(R$3,INDEX(Exigences!$E:$E,MATCH($A54,Exigences!$A:$A,0)))),"●","")</f>
        <v/>
      </c>
      <c r="S54" s="30">
        <f>IF(ISNUMBER(SEARCH(S$3,INDEX(Exigences!$E:$E,MATCH($A54,Exigences!$A:$A,0)))),"●","")</f>
        <v/>
      </c>
      <c r="T54" s="30">
        <f>IF(ISNUMBER(SEARCH(T$3,INDEX(Exigences!$E:$E,MATCH($A54,Exigences!$A:$A,0)))),"●","")</f>
        <v/>
      </c>
      <c r="U54" s="30">
        <f>IF(ISNUMBER(SEARCH(U$3,INDEX(Exigences!$E:$E,MATCH($A54,Exigences!$A:$A,0)))),"●","")</f>
        <v/>
      </c>
      <c r="V54" s="30">
        <f>IF(ISNUMBER(SEARCH(V$3,INDEX(Exigences!$E:$E,MATCH($A54,Exigences!$A:$A,0)))),"●","")</f>
        <v/>
      </c>
      <c r="W54" s="30">
        <f>IF(ISNUMBER(SEARCH(W$3,INDEX(Exigences!$E:$E,MATCH($A54,Exigences!$A:$A,0)))),"●","")</f>
        <v/>
      </c>
      <c r="X54" s="30">
        <f>IF(ISNUMBER(SEARCH(X$3,INDEX(Exigences!$E:$E,MATCH($A54,Exigences!$A:$A,0)))),"●","")</f>
        <v/>
      </c>
      <c r="Y54" s="30">
        <f>COUNTIF(D54:X54,"●")</f>
        <v/>
      </c>
    </row>
    <row r="55" ht="23.25" customHeight="1" s="20">
      <c r="A55" s="29" t="inlineStr">
        <is>
          <t>D-D-08</t>
        </is>
      </c>
      <c r="B55" s="29">
        <f>INDEX(Exigences!$C:$C,MATCH(A55,Exigences!$A:$A,0))</f>
        <v/>
      </c>
      <c r="C55" s="25">
        <f>INDEX(Exigences!$D:$D,MATCH(A55,Exigences!$A:$A,0))</f>
        <v/>
      </c>
      <c r="D55" s="30">
        <f>IF(ISNUMBER(SEARCH(D$3,INDEX(Exigences!$E:$E,MATCH($A55,Exigences!$A:$A,0)))),"●","")</f>
        <v/>
      </c>
      <c r="E55" s="30">
        <f>IF(ISNUMBER(SEARCH(E$3,INDEX(Exigences!$E:$E,MATCH($A55,Exigences!$A:$A,0)))),"●","")</f>
        <v/>
      </c>
      <c r="F55" s="30">
        <f>IF(ISNUMBER(SEARCH(F$3,INDEX(Exigences!$E:$E,MATCH($A55,Exigences!$A:$A,0)))),"●","")</f>
        <v/>
      </c>
      <c r="G55" s="30">
        <f>IF(ISNUMBER(SEARCH(G$3,INDEX(Exigences!$E:$E,MATCH($A55,Exigences!$A:$A,0)))),"●","")</f>
        <v/>
      </c>
      <c r="H55" s="30">
        <f>IF(ISNUMBER(SEARCH(H$3,INDEX(Exigences!$E:$E,MATCH($A55,Exigences!$A:$A,0)))),"●","")</f>
        <v/>
      </c>
      <c r="I55" s="30">
        <f>IF(ISNUMBER(SEARCH(I$3,INDEX(Exigences!$E:$E,MATCH($A55,Exigences!$A:$A,0)))),"●","")</f>
        <v/>
      </c>
      <c r="J55" s="30">
        <f>IF(ISNUMBER(SEARCH(J$3,INDEX(Exigences!$E:$E,MATCH($A55,Exigences!$A:$A,0)))),"●","")</f>
        <v/>
      </c>
      <c r="K55" s="30">
        <f>IF(ISNUMBER(SEARCH(K$3,INDEX(Exigences!$E:$E,MATCH($A55,Exigences!$A:$A,0)))),"●","")</f>
        <v/>
      </c>
      <c r="L55" s="30">
        <f>IF(ISNUMBER(SEARCH(L$3,INDEX(Exigences!$E:$E,MATCH($A55,Exigences!$A:$A,0)))),"●","")</f>
        <v/>
      </c>
      <c r="M55" s="30">
        <f>IF(ISNUMBER(SEARCH(M$3,INDEX(Exigences!$E:$E,MATCH($A55,Exigences!$A:$A,0)))),"●","")</f>
        <v/>
      </c>
      <c r="N55" s="30">
        <f>IF(ISNUMBER(SEARCH(N$3,INDEX(Exigences!$E:$E,MATCH($A55,Exigences!$A:$A,0)))),"●","")</f>
        <v/>
      </c>
      <c r="O55" s="30">
        <f>IF(ISNUMBER(SEARCH(O$3,INDEX(Exigences!$E:$E,MATCH($A55,Exigences!$A:$A,0)))),"●","")</f>
        <v/>
      </c>
      <c r="P55" s="30">
        <f>IF(ISNUMBER(SEARCH(P$3,INDEX(Exigences!$E:$E,MATCH($A55,Exigences!$A:$A,0)))),"●","")</f>
        <v/>
      </c>
      <c r="Q55" s="30">
        <f>IF(ISNUMBER(SEARCH(Q$3,INDEX(Exigences!$E:$E,MATCH($A55,Exigences!$A:$A,0)))),"●","")</f>
        <v/>
      </c>
      <c r="R55" s="30">
        <f>IF(ISNUMBER(SEARCH(R$3,INDEX(Exigences!$E:$E,MATCH($A55,Exigences!$A:$A,0)))),"●","")</f>
        <v/>
      </c>
      <c r="S55" s="30">
        <f>IF(ISNUMBER(SEARCH(S$3,INDEX(Exigences!$E:$E,MATCH($A55,Exigences!$A:$A,0)))),"●","")</f>
        <v/>
      </c>
      <c r="T55" s="30">
        <f>IF(ISNUMBER(SEARCH(T$3,INDEX(Exigences!$E:$E,MATCH($A55,Exigences!$A:$A,0)))),"●","")</f>
        <v/>
      </c>
      <c r="U55" s="30">
        <f>IF(ISNUMBER(SEARCH(U$3,INDEX(Exigences!$E:$E,MATCH($A55,Exigences!$A:$A,0)))),"●","")</f>
        <v/>
      </c>
      <c r="V55" s="30">
        <f>IF(ISNUMBER(SEARCH(V$3,INDEX(Exigences!$E:$E,MATCH($A55,Exigences!$A:$A,0)))),"●","")</f>
        <v/>
      </c>
      <c r="W55" s="30">
        <f>IF(ISNUMBER(SEARCH(W$3,INDEX(Exigences!$E:$E,MATCH($A55,Exigences!$A:$A,0)))),"●","")</f>
        <v/>
      </c>
      <c r="X55" s="30">
        <f>IF(ISNUMBER(SEARCH(X$3,INDEX(Exigences!$E:$E,MATCH($A55,Exigences!$A:$A,0)))),"●","")</f>
        <v/>
      </c>
      <c r="Y55" s="30">
        <f>COUNTIF(D55:X55,"●")</f>
        <v/>
      </c>
    </row>
    <row r="56" ht="15" customHeight="1" s="20">
      <c r="A56" s="29" t="inlineStr">
        <is>
          <t>D-D-09</t>
        </is>
      </c>
      <c r="B56" s="29">
        <f>INDEX(Exigences!$C:$C,MATCH(A56,Exigences!$A:$A,0))</f>
        <v/>
      </c>
      <c r="C56" s="25">
        <f>INDEX(Exigences!$D:$D,MATCH(A56,Exigences!$A:$A,0))</f>
        <v/>
      </c>
      <c r="D56" s="30">
        <f>IF(ISNUMBER(SEARCH(D$3,INDEX(Exigences!$E:$E,MATCH($A56,Exigences!$A:$A,0)))),"●","")</f>
        <v/>
      </c>
      <c r="E56" s="30">
        <f>IF(ISNUMBER(SEARCH(E$3,INDEX(Exigences!$E:$E,MATCH($A56,Exigences!$A:$A,0)))),"●","")</f>
        <v/>
      </c>
      <c r="F56" s="30">
        <f>IF(ISNUMBER(SEARCH(F$3,INDEX(Exigences!$E:$E,MATCH($A56,Exigences!$A:$A,0)))),"●","")</f>
        <v/>
      </c>
      <c r="G56" s="30">
        <f>IF(ISNUMBER(SEARCH(G$3,INDEX(Exigences!$E:$E,MATCH($A56,Exigences!$A:$A,0)))),"●","")</f>
        <v/>
      </c>
      <c r="H56" s="30">
        <f>IF(ISNUMBER(SEARCH(H$3,INDEX(Exigences!$E:$E,MATCH($A56,Exigences!$A:$A,0)))),"●","")</f>
        <v/>
      </c>
      <c r="I56" s="30">
        <f>IF(ISNUMBER(SEARCH(I$3,INDEX(Exigences!$E:$E,MATCH($A56,Exigences!$A:$A,0)))),"●","")</f>
        <v/>
      </c>
      <c r="J56" s="30">
        <f>IF(ISNUMBER(SEARCH(J$3,INDEX(Exigences!$E:$E,MATCH($A56,Exigences!$A:$A,0)))),"●","")</f>
        <v/>
      </c>
      <c r="K56" s="30">
        <f>IF(ISNUMBER(SEARCH(K$3,INDEX(Exigences!$E:$E,MATCH($A56,Exigences!$A:$A,0)))),"●","")</f>
        <v/>
      </c>
      <c r="L56" s="30">
        <f>IF(ISNUMBER(SEARCH(L$3,INDEX(Exigences!$E:$E,MATCH($A56,Exigences!$A:$A,0)))),"●","")</f>
        <v/>
      </c>
      <c r="M56" s="30">
        <f>IF(ISNUMBER(SEARCH(M$3,INDEX(Exigences!$E:$E,MATCH($A56,Exigences!$A:$A,0)))),"●","")</f>
        <v/>
      </c>
      <c r="N56" s="30">
        <f>IF(ISNUMBER(SEARCH(N$3,INDEX(Exigences!$E:$E,MATCH($A56,Exigences!$A:$A,0)))),"●","")</f>
        <v/>
      </c>
      <c r="O56" s="30">
        <f>IF(ISNUMBER(SEARCH(O$3,INDEX(Exigences!$E:$E,MATCH($A56,Exigences!$A:$A,0)))),"●","")</f>
        <v/>
      </c>
      <c r="P56" s="30">
        <f>IF(ISNUMBER(SEARCH(P$3,INDEX(Exigences!$E:$E,MATCH($A56,Exigences!$A:$A,0)))),"●","")</f>
        <v/>
      </c>
      <c r="Q56" s="30">
        <f>IF(ISNUMBER(SEARCH(Q$3,INDEX(Exigences!$E:$E,MATCH($A56,Exigences!$A:$A,0)))),"●","")</f>
        <v/>
      </c>
      <c r="R56" s="30">
        <f>IF(ISNUMBER(SEARCH(R$3,INDEX(Exigences!$E:$E,MATCH($A56,Exigences!$A:$A,0)))),"●","")</f>
        <v/>
      </c>
      <c r="S56" s="30">
        <f>IF(ISNUMBER(SEARCH(S$3,INDEX(Exigences!$E:$E,MATCH($A56,Exigences!$A:$A,0)))),"●","")</f>
        <v/>
      </c>
      <c r="T56" s="30">
        <f>IF(ISNUMBER(SEARCH(T$3,INDEX(Exigences!$E:$E,MATCH($A56,Exigences!$A:$A,0)))),"●","")</f>
        <v/>
      </c>
      <c r="U56" s="30">
        <f>IF(ISNUMBER(SEARCH(U$3,INDEX(Exigences!$E:$E,MATCH($A56,Exigences!$A:$A,0)))),"●","")</f>
        <v/>
      </c>
      <c r="V56" s="30">
        <f>IF(ISNUMBER(SEARCH(V$3,INDEX(Exigences!$E:$E,MATCH($A56,Exigences!$A:$A,0)))),"●","")</f>
        <v/>
      </c>
      <c r="W56" s="30">
        <f>IF(ISNUMBER(SEARCH(W$3,INDEX(Exigences!$E:$E,MATCH($A56,Exigences!$A:$A,0)))),"●","")</f>
        <v/>
      </c>
      <c r="X56" s="30">
        <f>IF(ISNUMBER(SEARCH(X$3,INDEX(Exigences!$E:$E,MATCH($A56,Exigences!$A:$A,0)))),"●","")</f>
        <v/>
      </c>
      <c r="Y56" s="30">
        <f>COUNTIF(D56:X56,"●")</f>
        <v/>
      </c>
    </row>
    <row r="57" ht="15" customHeight="1" s="20">
      <c r="A57" s="29" t="inlineStr">
        <is>
          <t>D-T-01</t>
        </is>
      </c>
      <c r="B57" s="29">
        <f>INDEX(Exigences!$C:$C,MATCH(A57,Exigences!$A:$A,0))</f>
        <v/>
      </c>
      <c r="C57" s="25">
        <f>INDEX(Exigences!$D:$D,MATCH(A57,Exigences!$A:$A,0))</f>
        <v/>
      </c>
      <c r="D57" s="30">
        <f>IF(ISNUMBER(SEARCH(D$3,INDEX(Exigences!$E:$E,MATCH($A57,Exigences!$A:$A,0)))),"●","")</f>
        <v/>
      </c>
      <c r="E57" s="30">
        <f>IF(ISNUMBER(SEARCH(E$3,INDEX(Exigences!$E:$E,MATCH($A57,Exigences!$A:$A,0)))),"●","")</f>
        <v/>
      </c>
      <c r="F57" s="30">
        <f>IF(ISNUMBER(SEARCH(F$3,INDEX(Exigences!$E:$E,MATCH($A57,Exigences!$A:$A,0)))),"●","")</f>
        <v/>
      </c>
      <c r="G57" s="30">
        <f>IF(ISNUMBER(SEARCH(G$3,INDEX(Exigences!$E:$E,MATCH($A57,Exigences!$A:$A,0)))),"●","")</f>
        <v/>
      </c>
      <c r="H57" s="30">
        <f>IF(ISNUMBER(SEARCH(H$3,INDEX(Exigences!$E:$E,MATCH($A57,Exigences!$A:$A,0)))),"●","")</f>
        <v/>
      </c>
      <c r="I57" s="30">
        <f>IF(ISNUMBER(SEARCH(I$3,INDEX(Exigences!$E:$E,MATCH($A57,Exigences!$A:$A,0)))),"●","")</f>
        <v/>
      </c>
      <c r="J57" s="30">
        <f>IF(ISNUMBER(SEARCH(J$3,INDEX(Exigences!$E:$E,MATCH($A57,Exigences!$A:$A,0)))),"●","")</f>
        <v/>
      </c>
      <c r="K57" s="30">
        <f>IF(ISNUMBER(SEARCH(K$3,INDEX(Exigences!$E:$E,MATCH($A57,Exigences!$A:$A,0)))),"●","")</f>
        <v/>
      </c>
      <c r="L57" s="30">
        <f>IF(ISNUMBER(SEARCH(L$3,INDEX(Exigences!$E:$E,MATCH($A57,Exigences!$A:$A,0)))),"●","")</f>
        <v/>
      </c>
      <c r="M57" s="30">
        <f>IF(ISNUMBER(SEARCH(M$3,INDEX(Exigences!$E:$E,MATCH($A57,Exigences!$A:$A,0)))),"●","")</f>
        <v/>
      </c>
      <c r="N57" s="30">
        <f>IF(ISNUMBER(SEARCH(N$3,INDEX(Exigences!$E:$E,MATCH($A57,Exigences!$A:$A,0)))),"●","")</f>
        <v/>
      </c>
      <c r="O57" s="30">
        <f>IF(ISNUMBER(SEARCH(O$3,INDEX(Exigences!$E:$E,MATCH($A57,Exigences!$A:$A,0)))),"●","")</f>
        <v/>
      </c>
      <c r="P57" s="30">
        <f>IF(ISNUMBER(SEARCH(P$3,INDEX(Exigences!$E:$E,MATCH($A57,Exigences!$A:$A,0)))),"●","")</f>
        <v/>
      </c>
      <c r="Q57" s="30">
        <f>IF(ISNUMBER(SEARCH(Q$3,INDEX(Exigences!$E:$E,MATCH($A57,Exigences!$A:$A,0)))),"●","")</f>
        <v/>
      </c>
      <c r="R57" s="30">
        <f>IF(ISNUMBER(SEARCH(R$3,INDEX(Exigences!$E:$E,MATCH($A57,Exigences!$A:$A,0)))),"●","")</f>
        <v/>
      </c>
      <c r="S57" s="30">
        <f>IF(ISNUMBER(SEARCH(S$3,INDEX(Exigences!$E:$E,MATCH($A57,Exigences!$A:$A,0)))),"●","")</f>
        <v/>
      </c>
      <c r="T57" s="30">
        <f>IF(ISNUMBER(SEARCH(T$3,INDEX(Exigences!$E:$E,MATCH($A57,Exigences!$A:$A,0)))),"●","")</f>
        <v/>
      </c>
      <c r="U57" s="30">
        <f>IF(ISNUMBER(SEARCH(U$3,INDEX(Exigences!$E:$E,MATCH($A57,Exigences!$A:$A,0)))),"●","")</f>
        <v/>
      </c>
      <c r="V57" s="30">
        <f>IF(ISNUMBER(SEARCH(V$3,INDEX(Exigences!$E:$E,MATCH($A57,Exigences!$A:$A,0)))),"●","")</f>
        <v/>
      </c>
      <c r="W57" s="30">
        <f>IF(ISNUMBER(SEARCH(W$3,INDEX(Exigences!$E:$E,MATCH($A57,Exigences!$A:$A,0)))),"●","")</f>
        <v/>
      </c>
      <c r="X57" s="30">
        <f>IF(ISNUMBER(SEARCH(X$3,INDEX(Exigences!$E:$E,MATCH($A57,Exigences!$A:$A,0)))),"●","")</f>
        <v/>
      </c>
      <c r="Y57" s="30">
        <f>COUNTIF(D57:X57,"●")</f>
        <v/>
      </c>
    </row>
    <row r="58" ht="15" customHeight="1" s="20">
      <c r="A58" s="29" t="inlineStr">
        <is>
          <t>D-T-02</t>
        </is>
      </c>
      <c r="B58" s="29">
        <f>INDEX(Exigences!$C:$C,MATCH(A58,Exigences!$A:$A,0))</f>
        <v/>
      </c>
      <c r="C58" s="25">
        <f>INDEX(Exigences!$D:$D,MATCH(A58,Exigences!$A:$A,0))</f>
        <v/>
      </c>
      <c r="D58" s="30">
        <f>IF(ISNUMBER(SEARCH(D$3,INDEX(Exigences!$E:$E,MATCH($A58,Exigences!$A:$A,0)))),"●","")</f>
        <v/>
      </c>
      <c r="E58" s="30">
        <f>IF(ISNUMBER(SEARCH(E$3,INDEX(Exigences!$E:$E,MATCH($A58,Exigences!$A:$A,0)))),"●","")</f>
        <v/>
      </c>
      <c r="F58" s="30">
        <f>IF(ISNUMBER(SEARCH(F$3,INDEX(Exigences!$E:$E,MATCH($A58,Exigences!$A:$A,0)))),"●","")</f>
        <v/>
      </c>
      <c r="G58" s="30">
        <f>IF(ISNUMBER(SEARCH(G$3,INDEX(Exigences!$E:$E,MATCH($A58,Exigences!$A:$A,0)))),"●","")</f>
        <v/>
      </c>
      <c r="H58" s="30">
        <f>IF(ISNUMBER(SEARCH(H$3,INDEX(Exigences!$E:$E,MATCH($A58,Exigences!$A:$A,0)))),"●","")</f>
        <v/>
      </c>
      <c r="I58" s="30">
        <f>IF(ISNUMBER(SEARCH(I$3,INDEX(Exigences!$E:$E,MATCH($A58,Exigences!$A:$A,0)))),"●","")</f>
        <v/>
      </c>
      <c r="J58" s="30">
        <f>IF(ISNUMBER(SEARCH(J$3,INDEX(Exigences!$E:$E,MATCH($A58,Exigences!$A:$A,0)))),"●","")</f>
        <v/>
      </c>
      <c r="K58" s="30">
        <f>IF(ISNUMBER(SEARCH(K$3,INDEX(Exigences!$E:$E,MATCH($A58,Exigences!$A:$A,0)))),"●","")</f>
        <v/>
      </c>
      <c r="L58" s="30">
        <f>IF(ISNUMBER(SEARCH(L$3,INDEX(Exigences!$E:$E,MATCH($A58,Exigences!$A:$A,0)))),"●","")</f>
        <v/>
      </c>
      <c r="M58" s="30">
        <f>IF(ISNUMBER(SEARCH(M$3,INDEX(Exigences!$E:$E,MATCH($A58,Exigences!$A:$A,0)))),"●","")</f>
        <v/>
      </c>
      <c r="N58" s="30">
        <f>IF(ISNUMBER(SEARCH(N$3,INDEX(Exigences!$E:$E,MATCH($A58,Exigences!$A:$A,0)))),"●","")</f>
        <v/>
      </c>
      <c r="O58" s="30">
        <f>IF(ISNUMBER(SEARCH(O$3,INDEX(Exigences!$E:$E,MATCH($A58,Exigences!$A:$A,0)))),"●","")</f>
        <v/>
      </c>
      <c r="P58" s="30">
        <f>IF(ISNUMBER(SEARCH(P$3,INDEX(Exigences!$E:$E,MATCH($A58,Exigences!$A:$A,0)))),"●","")</f>
        <v/>
      </c>
      <c r="Q58" s="30">
        <f>IF(ISNUMBER(SEARCH(Q$3,INDEX(Exigences!$E:$E,MATCH($A58,Exigences!$A:$A,0)))),"●","")</f>
        <v/>
      </c>
      <c r="R58" s="30">
        <f>IF(ISNUMBER(SEARCH(R$3,INDEX(Exigences!$E:$E,MATCH($A58,Exigences!$A:$A,0)))),"●","")</f>
        <v/>
      </c>
      <c r="S58" s="30">
        <f>IF(ISNUMBER(SEARCH(S$3,INDEX(Exigences!$E:$E,MATCH($A58,Exigences!$A:$A,0)))),"●","")</f>
        <v/>
      </c>
      <c r="T58" s="30">
        <f>IF(ISNUMBER(SEARCH(T$3,INDEX(Exigences!$E:$E,MATCH($A58,Exigences!$A:$A,0)))),"●","")</f>
        <v/>
      </c>
      <c r="U58" s="30">
        <f>IF(ISNUMBER(SEARCH(U$3,INDEX(Exigences!$E:$E,MATCH($A58,Exigences!$A:$A,0)))),"●","")</f>
        <v/>
      </c>
      <c r="V58" s="30">
        <f>IF(ISNUMBER(SEARCH(V$3,INDEX(Exigences!$E:$E,MATCH($A58,Exigences!$A:$A,0)))),"●","")</f>
        <v/>
      </c>
      <c r="W58" s="30">
        <f>IF(ISNUMBER(SEARCH(W$3,INDEX(Exigences!$E:$E,MATCH($A58,Exigences!$A:$A,0)))),"●","")</f>
        <v/>
      </c>
      <c r="X58" s="30">
        <f>IF(ISNUMBER(SEARCH(X$3,INDEX(Exigences!$E:$E,MATCH($A58,Exigences!$A:$A,0)))),"●","")</f>
        <v/>
      </c>
      <c r="Y58" s="30">
        <f>COUNTIF(D58:X58,"●")</f>
        <v/>
      </c>
    </row>
    <row r="59" ht="15" customHeight="1" s="20">
      <c r="A59" s="29" t="inlineStr">
        <is>
          <t>D-T-03</t>
        </is>
      </c>
      <c r="B59" s="29">
        <f>INDEX(Exigences!$C:$C,MATCH(A59,Exigences!$A:$A,0))</f>
        <v/>
      </c>
      <c r="C59" s="25">
        <f>INDEX(Exigences!$D:$D,MATCH(A59,Exigences!$A:$A,0))</f>
        <v/>
      </c>
      <c r="D59" s="30">
        <f>IF(ISNUMBER(SEARCH(D$3,INDEX(Exigences!$E:$E,MATCH($A59,Exigences!$A:$A,0)))),"●","")</f>
        <v/>
      </c>
      <c r="E59" s="30">
        <f>IF(ISNUMBER(SEARCH(E$3,INDEX(Exigences!$E:$E,MATCH($A59,Exigences!$A:$A,0)))),"●","")</f>
        <v/>
      </c>
      <c r="F59" s="30">
        <f>IF(ISNUMBER(SEARCH(F$3,INDEX(Exigences!$E:$E,MATCH($A59,Exigences!$A:$A,0)))),"●","")</f>
        <v/>
      </c>
      <c r="G59" s="30">
        <f>IF(ISNUMBER(SEARCH(G$3,INDEX(Exigences!$E:$E,MATCH($A59,Exigences!$A:$A,0)))),"●","")</f>
        <v/>
      </c>
      <c r="H59" s="30">
        <f>IF(ISNUMBER(SEARCH(H$3,INDEX(Exigences!$E:$E,MATCH($A59,Exigences!$A:$A,0)))),"●","")</f>
        <v/>
      </c>
      <c r="I59" s="30">
        <f>IF(ISNUMBER(SEARCH(I$3,INDEX(Exigences!$E:$E,MATCH($A59,Exigences!$A:$A,0)))),"●","")</f>
        <v/>
      </c>
      <c r="J59" s="30">
        <f>IF(ISNUMBER(SEARCH(J$3,INDEX(Exigences!$E:$E,MATCH($A59,Exigences!$A:$A,0)))),"●","")</f>
        <v/>
      </c>
      <c r="K59" s="30">
        <f>IF(ISNUMBER(SEARCH(K$3,INDEX(Exigences!$E:$E,MATCH($A59,Exigences!$A:$A,0)))),"●","")</f>
        <v/>
      </c>
      <c r="L59" s="30">
        <f>IF(ISNUMBER(SEARCH(L$3,INDEX(Exigences!$E:$E,MATCH($A59,Exigences!$A:$A,0)))),"●","")</f>
        <v/>
      </c>
      <c r="M59" s="30">
        <f>IF(ISNUMBER(SEARCH(M$3,INDEX(Exigences!$E:$E,MATCH($A59,Exigences!$A:$A,0)))),"●","")</f>
        <v/>
      </c>
      <c r="N59" s="30">
        <f>IF(ISNUMBER(SEARCH(N$3,INDEX(Exigences!$E:$E,MATCH($A59,Exigences!$A:$A,0)))),"●","")</f>
        <v/>
      </c>
      <c r="O59" s="30">
        <f>IF(ISNUMBER(SEARCH(O$3,INDEX(Exigences!$E:$E,MATCH($A59,Exigences!$A:$A,0)))),"●","")</f>
        <v/>
      </c>
      <c r="P59" s="30">
        <f>IF(ISNUMBER(SEARCH(P$3,INDEX(Exigences!$E:$E,MATCH($A59,Exigences!$A:$A,0)))),"●","")</f>
        <v/>
      </c>
      <c r="Q59" s="30">
        <f>IF(ISNUMBER(SEARCH(Q$3,INDEX(Exigences!$E:$E,MATCH($A59,Exigences!$A:$A,0)))),"●","")</f>
        <v/>
      </c>
      <c r="R59" s="30">
        <f>IF(ISNUMBER(SEARCH(R$3,INDEX(Exigences!$E:$E,MATCH($A59,Exigences!$A:$A,0)))),"●","")</f>
        <v/>
      </c>
      <c r="S59" s="30">
        <f>IF(ISNUMBER(SEARCH(S$3,INDEX(Exigences!$E:$E,MATCH($A59,Exigences!$A:$A,0)))),"●","")</f>
        <v/>
      </c>
      <c r="T59" s="30">
        <f>IF(ISNUMBER(SEARCH(T$3,INDEX(Exigences!$E:$E,MATCH($A59,Exigences!$A:$A,0)))),"●","")</f>
        <v/>
      </c>
      <c r="U59" s="30">
        <f>IF(ISNUMBER(SEARCH(U$3,INDEX(Exigences!$E:$E,MATCH($A59,Exigences!$A:$A,0)))),"●","")</f>
        <v/>
      </c>
      <c r="V59" s="30">
        <f>IF(ISNUMBER(SEARCH(V$3,INDEX(Exigences!$E:$E,MATCH($A59,Exigences!$A:$A,0)))),"●","")</f>
        <v/>
      </c>
      <c r="W59" s="30">
        <f>IF(ISNUMBER(SEARCH(W$3,INDEX(Exigences!$E:$E,MATCH($A59,Exigences!$A:$A,0)))),"●","")</f>
        <v/>
      </c>
      <c r="X59" s="30">
        <f>IF(ISNUMBER(SEARCH(X$3,INDEX(Exigences!$E:$E,MATCH($A59,Exigences!$A:$A,0)))),"●","")</f>
        <v/>
      </c>
      <c r="Y59" s="30">
        <f>COUNTIF(D59:X59,"●")</f>
        <v/>
      </c>
    </row>
    <row r="60" ht="15" customHeight="1" s="20">
      <c r="A60" s="29" t="inlineStr">
        <is>
          <t>D-T-04</t>
        </is>
      </c>
      <c r="B60" s="29">
        <f>INDEX(Exigences!$C:$C,MATCH(A60,Exigences!$A:$A,0))</f>
        <v/>
      </c>
      <c r="C60" s="25">
        <f>INDEX(Exigences!$D:$D,MATCH(A60,Exigences!$A:$A,0))</f>
        <v/>
      </c>
      <c r="D60" s="30">
        <f>IF(ISNUMBER(SEARCH(D$3,INDEX(Exigences!$E:$E,MATCH($A60,Exigences!$A:$A,0)))),"●","")</f>
        <v/>
      </c>
      <c r="E60" s="30">
        <f>IF(ISNUMBER(SEARCH(E$3,INDEX(Exigences!$E:$E,MATCH($A60,Exigences!$A:$A,0)))),"●","")</f>
        <v/>
      </c>
      <c r="F60" s="30">
        <f>IF(ISNUMBER(SEARCH(F$3,INDEX(Exigences!$E:$E,MATCH($A60,Exigences!$A:$A,0)))),"●","")</f>
        <v/>
      </c>
      <c r="G60" s="30">
        <f>IF(ISNUMBER(SEARCH(G$3,INDEX(Exigences!$E:$E,MATCH($A60,Exigences!$A:$A,0)))),"●","")</f>
        <v/>
      </c>
      <c r="H60" s="30">
        <f>IF(ISNUMBER(SEARCH(H$3,INDEX(Exigences!$E:$E,MATCH($A60,Exigences!$A:$A,0)))),"●","")</f>
        <v/>
      </c>
      <c r="I60" s="30">
        <f>IF(ISNUMBER(SEARCH(I$3,INDEX(Exigences!$E:$E,MATCH($A60,Exigences!$A:$A,0)))),"●","")</f>
        <v/>
      </c>
      <c r="J60" s="30">
        <f>IF(ISNUMBER(SEARCH(J$3,INDEX(Exigences!$E:$E,MATCH($A60,Exigences!$A:$A,0)))),"●","")</f>
        <v/>
      </c>
      <c r="K60" s="30">
        <f>IF(ISNUMBER(SEARCH(K$3,INDEX(Exigences!$E:$E,MATCH($A60,Exigences!$A:$A,0)))),"●","")</f>
        <v/>
      </c>
      <c r="L60" s="30">
        <f>IF(ISNUMBER(SEARCH(L$3,INDEX(Exigences!$E:$E,MATCH($A60,Exigences!$A:$A,0)))),"●","")</f>
        <v/>
      </c>
      <c r="M60" s="30">
        <f>IF(ISNUMBER(SEARCH(M$3,INDEX(Exigences!$E:$E,MATCH($A60,Exigences!$A:$A,0)))),"●","")</f>
        <v/>
      </c>
      <c r="N60" s="30">
        <f>IF(ISNUMBER(SEARCH(N$3,INDEX(Exigences!$E:$E,MATCH($A60,Exigences!$A:$A,0)))),"●","")</f>
        <v/>
      </c>
      <c r="O60" s="30">
        <f>IF(ISNUMBER(SEARCH(O$3,INDEX(Exigences!$E:$E,MATCH($A60,Exigences!$A:$A,0)))),"●","")</f>
        <v/>
      </c>
      <c r="P60" s="30">
        <f>IF(ISNUMBER(SEARCH(P$3,INDEX(Exigences!$E:$E,MATCH($A60,Exigences!$A:$A,0)))),"●","")</f>
        <v/>
      </c>
      <c r="Q60" s="30">
        <f>IF(ISNUMBER(SEARCH(Q$3,INDEX(Exigences!$E:$E,MATCH($A60,Exigences!$A:$A,0)))),"●","")</f>
        <v/>
      </c>
      <c r="R60" s="30">
        <f>IF(ISNUMBER(SEARCH(R$3,INDEX(Exigences!$E:$E,MATCH($A60,Exigences!$A:$A,0)))),"●","")</f>
        <v/>
      </c>
      <c r="S60" s="30">
        <f>IF(ISNUMBER(SEARCH(S$3,INDEX(Exigences!$E:$E,MATCH($A60,Exigences!$A:$A,0)))),"●","")</f>
        <v/>
      </c>
      <c r="T60" s="30">
        <f>IF(ISNUMBER(SEARCH(T$3,INDEX(Exigences!$E:$E,MATCH($A60,Exigences!$A:$A,0)))),"●","")</f>
        <v/>
      </c>
      <c r="U60" s="30">
        <f>IF(ISNUMBER(SEARCH(U$3,INDEX(Exigences!$E:$E,MATCH($A60,Exigences!$A:$A,0)))),"●","")</f>
        <v/>
      </c>
      <c r="V60" s="30">
        <f>IF(ISNUMBER(SEARCH(V$3,INDEX(Exigences!$E:$E,MATCH($A60,Exigences!$A:$A,0)))),"●","")</f>
        <v/>
      </c>
      <c r="W60" s="30">
        <f>IF(ISNUMBER(SEARCH(W$3,INDEX(Exigences!$E:$E,MATCH($A60,Exigences!$A:$A,0)))),"●","")</f>
        <v/>
      </c>
      <c r="X60" s="30">
        <f>IF(ISNUMBER(SEARCH(X$3,INDEX(Exigences!$E:$E,MATCH($A60,Exigences!$A:$A,0)))),"●","")</f>
        <v/>
      </c>
      <c r="Y60" s="30">
        <f>COUNTIF(D60:X60,"●")</f>
        <v/>
      </c>
    </row>
    <row r="61" ht="15" customHeight="1" s="20">
      <c r="A61" s="29" t="inlineStr">
        <is>
          <t>D-T-05</t>
        </is>
      </c>
      <c r="B61" s="29">
        <f>INDEX(Exigences!$C:$C,MATCH(A61,Exigences!$A:$A,0))</f>
        <v/>
      </c>
      <c r="C61" s="25">
        <f>INDEX(Exigences!$D:$D,MATCH(A61,Exigences!$A:$A,0))</f>
        <v/>
      </c>
      <c r="D61" s="30">
        <f>IF(ISNUMBER(SEARCH(D$3,INDEX(Exigences!$E:$E,MATCH($A61,Exigences!$A:$A,0)))),"●","")</f>
        <v/>
      </c>
      <c r="E61" s="30">
        <f>IF(ISNUMBER(SEARCH(E$3,INDEX(Exigences!$E:$E,MATCH($A61,Exigences!$A:$A,0)))),"●","")</f>
        <v/>
      </c>
      <c r="F61" s="30">
        <f>IF(ISNUMBER(SEARCH(F$3,INDEX(Exigences!$E:$E,MATCH($A61,Exigences!$A:$A,0)))),"●","")</f>
        <v/>
      </c>
      <c r="G61" s="30">
        <f>IF(ISNUMBER(SEARCH(G$3,INDEX(Exigences!$E:$E,MATCH($A61,Exigences!$A:$A,0)))),"●","")</f>
        <v/>
      </c>
      <c r="H61" s="30">
        <f>IF(ISNUMBER(SEARCH(H$3,INDEX(Exigences!$E:$E,MATCH($A61,Exigences!$A:$A,0)))),"●","")</f>
        <v/>
      </c>
      <c r="I61" s="30">
        <f>IF(ISNUMBER(SEARCH(I$3,INDEX(Exigences!$E:$E,MATCH($A61,Exigences!$A:$A,0)))),"●","")</f>
        <v/>
      </c>
      <c r="J61" s="30">
        <f>IF(ISNUMBER(SEARCH(J$3,INDEX(Exigences!$E:$E,MATCH($A61,Exigences!$A:$A,0)))),"●","")</f>
        <v/>
      </c>
      <c r="K61" s="30">
        <f>IF(ISNUMBER(SEARCH(K$3,INDEX(Exigences!$E:$E,MATCH($A61,Exigences!$A:$A,0)))),"●","")</f>
        <v/>
      </c>
      <c r="L61" s="30">
        <f>IF(ISNUMBER(SEARCH(L$3,INDEX(Exigences!$E:$E,MATCH($A61,Exigences!$A:$A,0)))),"●","")</f>
        <v/>
      </c>
      <c r="M61" s="30">
        <f>IF(ISNUMBER(SEARCH(M$3,INDEX(Exigences!$E:$E,MATCH($A61,Exigences!$A:$A,0)))),"●","")</f>
        <v/>
      </c>
      <c r="N61" s="30">
        <f>IF(ISNUMBER(SEARCH(N$3,INDEX(Exigences!$E:$E,MATCH($A61,Exigences!$A:$A,0)))),"●","")</f>
        <v/>
      </c>
      <c r="O61" s="30">
        <f>IF(ISNUMBER(SEARCH(O$3,INDEX(Exigences!$E:$E,MATCH($A61,Exigences!$A:$A,0)))),"●","")</f>
        <v/>
      </c>
      <c r="P61" s="30">
        <f>IF(ISNUMBER(SEARCH(P$3,INDEX(Exigences!$E:$E,MATCH($A61,Exigences!$A:$A,0)))),"●","")</f>
        <v/>
      </c>
      <c r="Q61" s="30">
        <f>IF(ISNUMBER(SEARCH(Q$3,INDEX(Exigences!$E:$E,MATCH($A61,Exigences!$A:$A,0)))),"●","")</f>
        <v/>
      </c>
      <c r="R61" s="30">
        <f>IF(ISNUMBER(SEARCH(R$3,INDEX(Exigences!$E:$E,MATCH($A61,Exigences!$A:$A,0)))),"●","")</f>
        <v/>
      </c>
      <c r="S61" s="30">
        <f>IF(ISNUMBER(SEARCH(S$3,INDEX(Exigences!$E:$E,MATCH($A61,Exigences!$A:$A,0)))),"●","")</f>
        <v/>
      </c>
      <c r="T61" s="30">
        <f>IF(ISNUMBER(SEARCH(T$3,INDEX(Exigences!$E:$E,MATCH($A61,Exigences!$A:$A,0)))),"●","")</f>
        <v/>
      </c>
      <c r="U61" s="30">
        <f>IF(ISNUMBER(SEARCH(U$3,INDEX(Exigences!$E:$E,MATCH($A61,Exigences!$A:$A,0)))),"●","")</f>
        <v/>
      </c>
      <c r="V61" s="30">
        <f>IF(ISNUMBER(SEARCH(V$3,INDEX(Exigences!$E:$E,MATCH($A61,Exigences!$A:$A,0)))),"●","")</f>
        <v/>
      </c>
      <c r="W61" s="30">
        <f>IF(ISNUMBER(SEARCH(W$3,INDEX(Exigences!$E:$E,MATCH($A61,Exigences!$A:$A,0)))),"●","")</f>
        <v/>
      </c>
      <c r="X61" s="30">
        <f>IF(ISNUMBER(SEARCH(X$3,INDEX(Exigences!$E:$E,MATCH($A61,Exigences!$A:$A,0)))),"●","")</f>
        <v/>
      </c>
      <c r="Y61" s="30">
        <f>COUNTIF(D61:X61,"●")</f>
        <v/>
      </c>
    </row>
    <row r="62" ht="15" customHeight="1" s="20">
      <c r="A62" s="29" t="inlineStr">
        <is>
          <t>D-V2-01</t>
        </is>
      </c>
      <c r="B62" s="29">
        <f>INDEX(Exigences!$C:$C,MATCH(A62,Exigences!$A:$A,0))</f>
        <v/>
      </c>
      <c r="C62" s="25">
        <f>INDEX(Exigences!$D:$D,MATCH(A62,Exigences!$A:$A,0))</f>
        <v/>
      </c>
      <c r="D62" s="30">
        <f>IF(ISNUMBER(SEARCH(D$3,INDEX(Exigences!$E:$E,MATCH($A62,Exigences!$A:$A,0)))),"●","")</f>
        <v/>
      </c>
      <c r="E62" s="30">
        <f>IF(ISNUMBER(SEARCH(E$3,INDEX(Exigences!$E:$E,MATCH($A62,Exigences!$A:$A,0)))),"●","")</f>
        <v/>
      </c>
      <c r="F62" s="30">
        <f>IF(ISNUMBER(SEARCH(F$3,INDEX(Exigences!$E:$E,MATCH($A62,Exigences!$A:$A,0)))),"●","")</f>
        <v/>
      </c>
      <c r="G62" s="30">
        <f>IF(ISNUMBER(SEARCH(G$3,INDEX(Exigences!$E:$E,MATCH($A62,Exigences!$A:$A,0)))),"●","")</f>
        <v/>
      </c>
      <c r="H62" s="30">
        <f>IF(ISNUMBER(SEARCH(H$3,INDEX(Exigences!$E:$E,MATCH($A62,Exigences!$A:$A,0)))),"●","")</f>
        <v/>
      </c>
      <c r="I62" s="30">
        <f>IF(ISNUMBER(SEARCH(I$3,INDEX(Exigences!$E:$E,MATCH($A62,Exigences!$A:$A,0)))),"●","")</f>
        <v/>
      </c>
      <c r="J62" s="30">
        <f>IF(ISNUMBER(SEARCH(J$3,INDEX(Exigences!$E:$E,MATCH($A62,Exigences!$A:$A,0)))),"●","")</f>
        <v/>
      </c>
      <c r="K62" s="30">
        <f>IF(ISNUMBER(SEARCH(K$3,INDEX(Exigences!$E:$E,MATCH($A62,Exigences!$A:$A,0)))),"●","")</f>
        <v/>
      </c>
      <c r="L62" s="30">
        <f>IF(ISNUMBER(SEARCH(L$3,INDEX(Exigences!$E:$E,MATCH($A62,Exigences!$A:$A,0)))),"●","")</f>
        <v/>
      </c>
      <c r="M62" s="30">
        <f>IF(ISNUMBER(SEARCH(M$3,INDEX(Exigences!$E:$E,MATCH($A62,Exigences!$A:$A,0)))),"●","")</f>
        <v/>
      </c>
      <c r="N62" s="30">
        <f>IF(ISNUMBER(SEARCH(N$3,INDEX(Exigences!$E:$E,MATCH($A62,Exigences!$A:$A,0)))),"●","")</f>
        <v/>
      </c>
      <c r="O62" s="30">
        <f>IF(ISNUMBER(SEARCH(O$3,INDEX(Exigences!$E:$E,MATCH($A62,Exigences!$A:$A,0)))),"●","")</f>
        <v/>
      </c>
      <c r="P62" s="30">
        <f>IF(ISNUMBER(SEARCH(P$3,INDEX(Exigences!$E:$E,MATCH($A62,Exigences!$A:$A,0)))),"●","")</f>
        <v/>
      </c>
      <c r="Q62" s="30">
        <f>IF(ISNUMBER(SEARCH(Q$3,INDEX(Exigences!$E:$E,MATCH($A62,Exigences!$A:$A,0)))),"●","")</f>
        <v/>
      </c>
      <c r="R62" s="30">
        <f>IF(ISNUMBER(SEARCH(R$3,INDEX(Exigences!$E:$E,MATCH($A62,Exigences!$A:$A,0)))),"●","")</f>
        <v/>
      </c>
      <c r="S62" s="30">
        <f>IF(ISNUMBER(SEARCH(S$3,INDEX(Exigences!$E:$E,MATCH($A62,Exigences!$A:$A,0)))),"●","")</f>
        <v/>
      </c>
      <c r="T62" s="30">
        <f>IF(ISNUMBER(SEARCH(T$3,INDEX(Exigences!$E:$E,MATCH($A62,Exigences!$A:$A,0)))),"●","")</f>
        <v/>
      </c>
      <c r="U62" s="30">
        <f>IF(ISNUMBER(SEARCH(U$3,INDEX(Exigences!$E:$E,MATCH($A62,Exigences!$A:$A,0)))),"●","")</f>
        <v/>
      </c>
      <c r="V62" s="30">
        <f>IF(ISNUMBER(SEARCH(V$3,INDEX(Exigences!$E:$E,MATCH($A62,Exigences!$A:$A,0)))),"●","")</f>
        <v/>
      </c>
      <c r="W62" s="30">
        <f>IF(ISNUMBER(SEARCH(W$3,INDEX(Exigences!$E:$E,MATCH($A62,Exigences!$A:$A,0)))),"●","")</f>
        <v/>
      </c>
      <c r="X62" s="30">
        <f>IF(ISNUMBER(SEARCH(X$3,INDEX(Exigences!$E:$E,MATCH($A62,Exigences!$A:$A,0)))),"●","")</f>
        <v/>
      </c>
      <c r="Y62" s="30">
        <f>COUNTIF(D62:X62,"●")</f>
        <v/>
      </c>
    </row>
    <row r="63" ht="15" customHeight="1" s="20">
      <c r="A63" s="29" t="inlineStr">
        <is>
          <t>D-V2-02</t>
        </is>
      </c>
      <c r="B63" s="29">
        <f>INDEX(Exigences!$C:$C,MATCH(A63,Exigences!$A:$A,0))</f>
        <v/>
      </c>
      <c r="C63" s="25">
        <f>INDEX(Exigences!$D:$D,MATCH(A63,Exigences!$A:$A,0))</f>
        <v/>
      </c>
      <c r="D63" s="30">
        <f>IF(ISNUMBER(SEARCH(D$3,INDEX(Exigences!$E:$E,MATCH($A63,Exigences!$A:$A,0)))),"●","")</f>
        <v/>
      </c>
      <c r="E63" s="30">
        <f>IF(ISNUMBER(SEARCH(E$3,INDEX(Exigences!$E:$E,MATCH($A63,Exigences!$A:$A,0)))),"●","")</f>
        <v/>
      </c>
      <c r="F63" s="30">
        <f>IF(ISNUMBER(SEARCH(F$3,INDEX(Exigences!$E:$E,MATCH($A63,Exigences!$A:$A,0)))),"●","")</f>
        <v/>
      </c>
      <c r="G63" s="30">
        <f>IF(ISNUMBER(SEARCH(G$3,INDEX(Exigences!$E:$E,MATCH($A63,Exigences!$A:$A,0)))),"●","")</f>
        <v/>
      </c>
      <c r="H63" s="30">
        <f>IF(ISNUMBER(SEARCH(H$3,INDEX(Exigences!$E:$E,MATCH($A63,Exigences!$A:$A,0)))),"●","")</f>
        <v/>
      </c>
      <c r="I63" s="30">
        <f>IF(ISNUMBER(SEARCH(I$3,INDEX(Exigences!$E:$E,MATCH($A63,Exigences!$A:$A,0)))),"●","")</f>
        <v/>
      </c>
      <c r="J63" s="30">
        <f>IF(ISNUMBER(SEARCH(J$3,INDEX(Exigences!$E:$E,MATCH($A63,Exigences!$A:$A,0)))),"●","")</f>
        <v/>
      </c>
      <c r="K63" s="30">
        <f>IF(ISNUMBER(SEARCH(K$3,INDEX(Exigences!$E:$E,MATCH($A63,Exigences!$A:$A,0)))),"●","")</f>
        <v/>
      </c>
      <c r="L63" s="30">
        <f>IF(ISNUMBER(SEARCH(L$3,INDEX(Exigences!$E:$E,MATCH($A63,Exigences!$A:$A,0)))),"●","")</f>
        <v/>
      </c>
      <c r="M63" s="30">
        <f>IF(ISNUMBER(SEARCH(M$3,INDEX(Exigences!$E:$E,MATCH($A63,Exigences!$A:$A,0)))),"●","")</f>
        <v/>
      </c>
      <c r="N63" s="30">
        <f>IF(ISNUMBER(SEARCH(N$3,INDEX(Exigences!$E:$E,MATCH($A63,Exigences!$A:$A,0)))),"●","")</f>
        <v/>
      </c>
      <c r="O63" s="30">
        <f>IF(ISNUMBER(SEARCH(O$3,INDEX(Exigences!$E:$E,MATCH($A63,Exigences!$A:$A,0)))),"●","")</f>
        <v/>
      </c>
      <c r="P63" s="30">
        <f>IF(ISNUMBER(SEARCH(P$3,INDEX(Exigences!$E:$E,MATCH($A63,Exigences!$A:$A,0)))),"●","")</f>
        <v/>
      </c>
      <c r="Q63" s="30">
        <f>IF(ISNUMBER(SEARCH(Q$3,INDEX(Exigences!$E:$E,MATCH($A63,Exigences!$A:$A,0)))),"●","")</f>
        <v/>
      </c>
      <c r="R63" s="30">
        <f>IF(ISNUMBER(SEARCH(R$3,INDEX(Exigences!$E:$E,MATCH($A63,Exigences!$A:$A,0)))),"●","")</f>
        <v/>
      </c>
      <c r="S63" s="30">
        <f>IF(ISNUMBER(SEARCH(S$3,INDEX(Exigences!$E:$E,MATCH($A63,Exigences!$A:$A,0)))),"●","")</f>
        <v/>
      </c>
      <c r="T63" s="30">
        <f>IF(ISNUMBER(SEARCH(T$3,INDEX(Exigences!$E:$E,MATCH($A63,Exigences!$A:$A,0)))),"●","")</f>
        <v/>
      </c>
      <c r="U63" s="30">
        <f>IF(ISNUMBER(SEARCH(U$3,INDEX(Exigences!$E:$E,MATCH($A63,Exigences!$A:$A,0)))),"●","")</f>
        <v/>
      </c>
      <c r="V63" s="30">
        <f>IF(ISNUMBER(SEARCH(V$3,INDEX(Exigences!$E:$E,MATCH($A63,Exigences!$A:$A,0)))),"●","")</f>
        <v/>
      </c>
      <c r="W63" s="30">
        <f>IF(ISNUMBER(SEARCH(W$3,INDEX(Exigences!$E:$E,MATCH($A63,Exigences!$A:$A,0)))),"●","")</f>
        <v/>
      </c>
      <c r="X63" s="30">
        <f>IF(ISNUMBER(SEARCH(X$3,INDEX(Exigences!$E:$E,MATCH($A63,Exigences!$A:$A,0)))),"●","")</f>
        <v/>
      </c>
      <c r="Y63" s="30">
        <f>COUNTIF(D63:X63,"●")</f>
        <v/>
      </c>
    </row>
    <row r="64" ht="23.25" customHeight="1" s="20">
      <c r="A64" s="29" t="inlineStr">
        <is>
          <t>D-V2-03</t>
        </is>
      </c>
      <c r="B64" s="29">
        <f>INDEX(Exigences!$C:$C,MATCH(A64,Exigences!$A:$A,0))</f>
        <v/>
      </c>
      <c r="C64" s="25">
        <f>INDEX(Exigences!$D:$D,MATCH(A64,Exigences!$A:$A,0))</f>
        <v/>
      </c>
      <c r="D64" s="30">
        <f>IF(ISNUMBER(SEARCH(D$3,INDEX(Exigences!$E:$E,MATCH($A64,Exigences!$A:$A,0)))),"●","")</f>
        <v/>
      </c>
      <c r="E64" s="30">
        <f>IF(ISNUMBER(SEARCH(E$3,INDEX(Exigences!$E:$E,MATCH($A64,Exigences!$A:$A,0)))),"●","")</f>
        <v/>
      </c>
      <c r="F64" s="30">
        <f>IF(ISNUMBER(SEARCH(F$3,INDEX(Exigences!$E:$E,MATCH($A64,Exigences!$A:$A,0)))),"●","")</f>
        <v/>
      </c>
      <c r="G64" s="30">
        <f>IF(ISNUMBER(SEARCH(G$3,INDEX(Exigences!$E:$E,MATCH($A64,Exigences!$A:$A,0)))),"●","")</f>
        <v/>
      </c>
      <c r="H64" s="30">
        <f>IF(ISNUMBER(SEARCH(H$3,INDEX(Exigences!$E:$E,MATCH($A64,Exigences!$A:$A,0)))),"●","")</f>
        <v/>
      </c>
      <c r="I64" s="30">
        <f>IF(ISNUMBER(SEARCH(I$3,INDEX(Exigences!$E:$E,MATCH($A64,Exigences!$A:$A,0)))),"●","")</f>
        <v/>
      </c>
      <c r="J64" s="30">
        <f>IF(ISNUMBER(SEARCH(J$3,INDEX(Exigences!$E:$E,MATCH($A64,Exigences!$A:$A,0)))),"●","")</f>
        <v/>
      </c>
      <c r="K64" s="30">
        <f>IF(ISNUMBER(SEARCH(K$3,INDEX(Exigences!$E:$E,MATCH($A64,Exigences!$A:$A,0)))),"●","")</f>
        <v/>
      </c>
      <c r="L64" s="30">
        <f>IF(ISNUMBER(SEARCH(L$3,INDEX(Exigences!$E:$E,MATCH($A64,Exigences!$A:$A,0)))),"●","")</f>
        <v/>
      </c>
      <c r="M64" s="30">
        <f>IF(ISNUMBER(SEARCH(M$3,INDEX(Exigences!$E:$E,MATCH($A64,Exigences!$A:$A,0)))),"●","")</f>
        <v/>
      </c>
      <c r="N64" s="30">
        <f>IF(ISNUMBER(SEARCH(N$3,INDEX(Exigences!$E:$E,MATCH($A64,Exigences!$A:$A,0)))),"●","")</f>
        <v/>
      </c>
      <c r="O64" s="30">
        <f>IF(ISNUMBER(SEARCH(O$3,INDEX(Exigences!$E:$E,MATCH($A64,Exigences!$A:$A,0)))),"●","")</f>
        <v/>
      </c>
      <c r="P64" s="30">
        <f>IF(ISNUMBER(SEARCH(P$3,INDEX(Exigences!$E:$E,MATCH($A64,Exigences!$A:$A,0)))),"●","")</f>
        <v/>
      </c>
      <c r="Q64" s="30">
        <f>IF(ISNUMBER(SEARCH(Q$3,INDEX(Exigences!$E:$E,MATCH($A64,Exigences!$A:$A,0)))),"●","")</f>
        <v/>
      </c>
      <c r="R64" s="30">
        <f>IF(ISNUMBER(SEARCH(R$3,INDEX(Exigences!$E:$E,MATCH($A64,Exigences!$A:$A,0)))),"●","")</f>
        <v/>
      </c>
      <c r="S64" s="30">
        <f>IF(ISNUMBER(SEARCH(S$3,INDEX(Exigences!$E:$E,MATCH($A64,Exigences!$A:$A,0)))),"●","")</f>
        <v/>
      </c>
      <c r="T64" s="30">
        <f>IF(ISNUMBER(SEARCH(T$3,INDEX(Exigences!$E:$E,MATCH($A64,Exigences!$A:$A,0)))),"●","")</f>
        <v/>
      </c>
      <c r="U64" s="30">
        <f>IF(ISNUMBER(SEARCH(U$3,INDEX(Exigences!$E:$E,MATCH($A64,Exigences!$A:$A,0)))),"●","")</f>
        <v/>
      </c>
      <c r="V64" s="30">
        <f>IF(ISNUMBER(SEARCH(V$3,INDEX(Exigences!$E:$E,MATCH($A64,Exigences!$A:$A,0)))),"●","")</f>
        <v/>
      </c>
      <c r="W64" s="30">
        <f>IF(ISNUMBER(SEARCH(W$3,INDEX(Exigences!$E:$E,MATCH($A64,Exigences!$A:$A,0)))),"●","")</f>
        <v/>
      </c>
      <c r="X64" s="30">
        <f>IF(ISNUMBER(SEARCH(X$3,INDEX(Exigences!$E:$E,MATCH($A64,Exigences!$A:$A,0)))),"●","")</f>
        <v/>
      </c>
      <c r="Y64" s="30">
        <f>COUNTIF(D64:X64,"●")</f>
        <v/>
      </c>
    </row>
    <row r="65" ht="15" customHeight="1" s="20">
      <c r="A65" s="29" t="inlineStr">
        <is>
          <t>D-V2-04</t>
        </is>
      </c>
      <c r="B65" s="29">
        <f>INDEX(Exigences!$C:$C,MATCH(A65,Exigences!$A:$A,0))</f>
        <v/>
      </c>
      <c r="C65" s="25">
        <f>INDEX(Exigences!$D:$D,MATCH(A65,Exigences!$A:$A,0))</f>
        <v/>
      </c>
      <c r="D65" s="30">
        <f>IF(ISNUMBER(SEARCH(D$3,INDEX(Exigences!$E:$E,MATCH($A65,Exigences!$A:$A,0)))),"●","")</f>
        <v/>
      </c>
      <c r="E65" s="30">
        <f>IF(ISNUMBER(SEARCH(E$3,INDEX(Exigences!$E:$E,MATCH($A65,Exigences!$A:$A,0)))),"●","")</f>
        <v/>
      </c>
      <c r="F65" s="30">
        <f>IF(ISNUMBER(SEARCH(F$3,INDEX(Exigences!$E:$E,MATCH($A65,Exigences!$A:$A,0)))),"●","")</f>
        <v/>
      </c>
      <c r="G65" s="30">
        <f>IF(ISNUMBER(SEARCH(G$3,INDEX(Exigences!$E:$E,MATCH($A65,Exigences!$A:$A,0)))),"●","")</f>
        <v/>
      </c>
      <c r="H65" s="30">
        <f>IF(ISNUMBER(SEARCH(H$3,INDEX(Exigences!$E:$E,MATCH($A65,Exigences!$A:$A,0)))),"●","")</f>
        <v/>
      </c>
      <c r="I65" s="30">
        <f>IF(ISNUMBER(SEARCH(I$3,INDEX(Exigences!$E:$E,MATCH($A65,Exigences!$A:$A,0)))),"●","")</f>
        <v/>
      </c>
      <c r="J65" s="30">
        <f>IF(ISNUMBER(SEARCH(J$3,INDEX(Exigences!$E:$E,MATCH($A65,Exigences!$A:$A,0)))),"●","")</f>
        <v/>
      </c>
      <c r="K65" s="30">
        <f>IF(ISNUMBER(SEARCH(K$3,INDEX(Exigences!$E:$E,MATCH($A65,Exigences!$A:$A,0)))),"●","")</f>
        <v/>
      </c>
      <c r="L65" s="30">
        <f>IF(ISNUMBER(SEARCH(L$3,INDEX(Exigences!$E:$E,MATCH($A65,Exigences!$A:$A,0)))),"●","")</f>
        <v/>
      </c>
      <c r="M65" s="30">
        <f>IF(ISNUMBER(SEARCH(M$3,INDEX(Exigences!$E:$E,MATCH($A65,Exigences!$A:$A,0)))),"●","")</f>
        <v/>
      </c>
      <c r="N65" s="30">
        <f>IF(ISNUMBER(SEARCH(N$3,INDEX(Exigences!$E:$E,MATCH($A65,Exigences!$A:$A,0)))),"●","")</f>
        <v/>
      </c>
      <c r="O65" s="30">
        <f>IF(ISNUMBER(SEARCH(O$3,INDEX(Exigences!$E:$E,MATCH($A65,Exigences!$A:$A,0)))),"●","")</f>
        <v/>
      </c>
      <c r="P65" s="30">
        <f>IF(ISNUMBER(SEARCH(P$3,INDEX(Exigences!$E:$E,MATCH($A65,Exigences!$A:$A,0)))),"●","")</f>
        <v/>
      </c>
      <c r="Q65" s="30">
        <f>IF(ISNUMBER(SEARCH(Q$3,INDEX(Exigences!$E:$E,MATCH($A65,Exigences!$A:$A,0)))),"●","")</f>
        <v/>
      </c>
      <c r="R65" s="30">
        <f>IF(ISNUMBER(SEARCH(R$3,INDEX(Exigences!$E:$E,MATCH($A65,Exigences!$A:$A,0)))),"●","")</f>
        <v/>
      </c>
      <c r="S65" s="30">
        <f>IF(ISNUMBER(SEARCH(S$3,INDEX(Exigences!$E:$E,MATCH($A65,Exigences!$A:$A,0)))),"●","")</f>
        <v/>
      </c>
      <c r="T65" s="30">
        <f>IF(ISNUMBER(SEARCH(T$3,INDEX(Exigences!$E:$E,MATCH($A65,Exigences!$A:$A,0)))),"●","")</f>
        <v/>
      </c>
      <c r="U65" s="30">
        <f>IF(ISNUMBER(SEARCH(U$3,INDEX(Exigences!$E:$E,MATCH($A65,Exigences!$A:$A,0)))),"●","")</f>
        <v/>
      </c>
      <c r="V65" s="30">
        <f>IF(ISNUMBER(SEARCH(V$3,INDEX(Exigences!$E:$E,MATCH($A65,Exigences!$A:$A,0)))),"●","")</f>
        <v/>
      </c>
      <c r="W65" s="30">
        <f>IF(ISNUMBER(SEARCH(W$3,INDEX(Exigences!$E:$E,MATCH($A65,Exigences!$A:$A,0)))),"●","")</f>
        <v/>
      </c>
      <c r="X65" s="30">
        <f>IF(ISNUMBER(SEARCH(X$3,INDEX(Exigences!$E:$E,MATCH($A65,Exigences!$A:$A,0)))),"●","")</f>
        <v/>
      </c>
      <c r="Y65" s="30">
        <f>COUNTIF(D65:X65,"●")</f>
        <v/>
      </c>
    </row>
    <row r="66" ht="15" customHeight="1" s="20">
      <c r="A66" s="29" t="inlineStr">
        <is>
          <t>D-V2-05</t>
        </is>
      </c>
      <c r="B66" s="29">
        <f>INDEX(Exigences!$C:$C,MATCH(A66,Exigences!$A:$A,0))</f>
        <v/>
      </c>
      <c r="C66" s="25">
        <f>INDEX(Exigences!$D:$D,MATCH(A66,Exigences!$A:$A,0))</f>
        <v/>
      </c>
      <c r="D66" s="30">
        <f>IF(ISNUMBER(SEARCH(D$3,INDEX(Exigences!$E:$E,MATCH($A66,Exigences!$A:$A,0)))),"●","")</f>
        <v/>
      </c>
      <c r="E66" s="30">
        <f>IF(ISNUMBER(SEARCH(E$3,INDEX(Exigences!$E:$E,MATCH($A66,Exigences!$A:$A,0)))),"●","")</f>
        <v/>
      </c>
      <c r="F66" s="30">
        <f>IF(ISNUMBER(SEARCH(F$3,INDEX(Exigences!$E:$E,MATCH($A66,Exigences!$A:$A,0)))),"●","")</f>
        <v/>
      </c>
      <c r="G66" s="30">
        <f>IF(ISNUMBER(SEARCH(G$3,INDEX(Exigences!$E:$E,MATCH($A66,Exigences!$A:$A,0)))),"●","")</f>
        <v/>
      </c>
      <c r="H66" s="30">
        <f>IF(ISNUMBER(SEARCH(H$3,INDEX(Exigences!$E:$E,MATCH($A66,Exigences!$A:$A,0)))),"●","")</f>
        <v/>
      </c>
      <c r="I66" s="30">
        <f>IF(ISNUMBER(SEARCH(I$3,INDEX(Exigences!$E:$E,MATCH($A66,Exigences!$A:$A,0)))),"●","")</f>
        <v/>
      </c>
      <c r="J66" s="30">
        <f>IF(ISNUMBER(SEARCH(J$3,INDEX(Exigences!$E:$E,MATCH($A66,Exigences!$A:$A,0)))),"●","")</f>
        <v/>
      </c>
      <c r="K66" s="30">
        <f>IF(ISNUMBER(SEARCH(K$3,INDEX(Exigences!$E:$E,MATCH($A66,Exigences!$A:$A,0)))),"●","")</f>
        <v/>
      </c>
      <c r="L66" s="30">
        <f>IF(ISNUMBER(SEARCH(L$3,INDEX(Exigences!$E:$E,MATCH($A66,Exigences!$A:$A,0)))),"●","")</f>
        <v/>
      </c>
      <c r="M66" s="30">
        <f>IF(ISNUMBER(SEARCH(M$3,INDEX(Exigences!$E:$E,MATCH($A66,Exigences!$A:$A,0)))),"●","")</f>
        <v/>
      </c>
      <c r="N66" s="30">
        <f>IF(ISNUMBER(SEARCH(N$3,INDEX(Exigences!$E:$E,MATCH($A66,Exigences!$A:$A,0)))),"●","")</f>
        <v/>
      </c>
      <c r="O66" s="30">
        <f>IF(ISNUMBER(SEARCH(O$3,INDEX(Exigences!$E:$E,MATCH($A66,Exigences!$A:$A,0)))),"●","")</f>
        <v/>
      </c>
      <c r="P66" s="30">
        <f>IF(ISNUMBER(SEARCH(P$3,INDEX(Exigences!$E:$E,MATCH($A66,Exigences!$A:$A,0)))),"●","")</f>
        <v/>
      </c>
      <c r="Q66" s="30">
        <f>IF(ISNUMBER(SEARCH(Q$3,INDEX(Exigences!$E:$E,MATCH($A66,Exigences!$A:$A,0)))),"●","")</f>
        <v/>
      </c>
      <c r="R66" s="30">
        <f>IF(ISNUMBER(SEARCH(R$3,INDEX(Exigences!$E:$E,MATCH($A66,Exigences!$A:$A,0)))),"●","")</f>
        <v/>
      </c>
      <c r="S66" s="30">
        <f>IF(ISNUMBER(SEARCH(S$3,INDEX(Exigences!$E:$E,MATCH($A66,Exigences!$A:$A,0)))),"●","")</f>
        <v/>
      </c>
      <c r="T66" s="30">
        <f>IF(ISNUMBER(SEARCH(T$3,INDEX(Exigences!$E:$E,MATCH($A66,Exigences!$A:$A,0)))),"●","")</f>
        <v/>
      </c>
      <c r="U66" s="30">
        <f>IF(ISNUMBER(SEARCH(U$3,INDEX(Exigences!$E:$E,MATCH($A66,Exigences!$A:$A,0)))),"●","")</f>
        <v/>
      </c>
      <c r="V66" s="30">
        <f>IF(ISNUMBER(SEARCH(V$3,INDEX(Exigences!$E:$E,MATCH($A66,Exigences!$A:$A,0)))),"●","")</f>
        <v/>
      </c>
      <c r="W66" s="30">
        <f>IF(ISNUMBER(SEARCH(W$3,INDEX(Exigences!$E:$E,MATCH($A66,Exigences!$A:$A,0)))),"●","")</f>
        <v/>
      </c>
      <c r="X66" s="30">
        <f>IF(ISNUMBER(SEARCH(X$3,INDEX(Exigences!$E:$E,MATCH($A66,Exigences!$A:$A,0)))),"●","")</f>
        <v/>
      </c>
      <c r="Y66" s="30">
        <f>COUNTIF(D66:X66,"●")</f>
        <v/>
      </c>
    </row>
    <row r="67" ht="15" customHeight="1" s="20">
      <c r="A67" s="29" t="inlineStr">
        <is>
          <t>D-V2-06</t>
        </is>
      </c>
      <c r="B67" s="29">
        <f>INDEX(Exigences!$C:$C,MATCH(A67,Exigences!$A:$A,0))</f>
        <v/>
      </c>
      <c r="C67" s="25">
        <f>INDEX(Exigences!$D:$D,MATCH(A67,Exigences!$A:$A,0))</f>
        <v/>
      </c>
      <c r="D67" s="30">
        <f>IF(ISNUMBER(SEARCH(D$3,INDEX(Exigences!$E:$E,MATCH($A67,Exigences!$A:$A,0)))),"●","")</f>
        <v/>
      </c>
      <c r="E67" s="30">
        <f>IF(ISNUMBER(SEARCH(E$3,INDEX(Exigences!$E:$E,MATCH($A67,Exigences!$A:$A,0)))),"●","")</f>
        <v/>
      </c>
      <c r="F67" s="30">
        <f>IF(ISNUMBER(SEARCH(F$3,INDEX(Exigences!$E:$E,MATCH($A67,Exigences!$A:$A,0)))),"●","")</f>
        <v/>
      </c>
      <c r="G67" s="30">
        <f>IF(ISNUMBER(SEARCH(G$3,INDEX(Exigences!$E:$E,MATCH($A67,Exigences!$A:$A,0)))),"●","")</f>
        <v/>
      </c>
      <c r="H67" s="30">
        <f>IF(ISNUMBER(SEARCH(H$3,INDEX(Exigences!$E:$E,MATCH($A67,Exigences!$A:$A,0)))),"●","")</f>
        <v/>
      </c>
      <c r="I67" s="30">
        <f>IF(ISNUMBER(SEARCH(I$3,INDEX(Exigences!$E:$E,MATCH($A67,Exigences!$A:$A,0)))),"●","")</f>
        <v/>
      </c>
      <c r="J67" s="30">
        <f>IF(ISNUMBER(SEARCH(J$3,INDEX(Exigences!$E:$E,MATCH($A67,Exigences!$A:$A,0)))),"●","")</f>
        <v/>
      </c>
      <c r="K67" s="30">
        <f>IF(ISNUMBER(SEARCH(K$3,INDEX(Exigences!$E:$E,MATCH($A67,Exigences!$A:$A,0)))),"●","")</f>
        <v/>
      </c>
      <c r="L67" s="30">
        <f>IF(ISNUMBER(SEARCH(L$3,INDEX(Exigences!$E:$E,MATCH($A67,Exigences!$A:$A,0)))),"●","")</f>
        <v/>
      </c>
      <c r="M67" s="30">
        <f>IF(ISNUMBER(SEARCH(M$3,INDEX(Exigences!$E:$E,MATCH($A67,Exigences!$A:$A,0)))),"●","")</f>
        <v/>
      </c>
      <c r="N67" s="30">
        <f>IF(ISNUMBER(SEARCH(N$3,INDEX(Exigences!$E:$E,MATCH($A67,Exigences!$A:$A,0)))),"●","")</f>
        <v/>
      </c>
      <c r="O67" s="30">
        <f>IF(ISNUMBER(SEARCH(O$3,INDEX(Exigences!$E:$E,MATCH($A67,Exigences!$A:$A,0)))),"●","")</f>
        <v/>
      </c>
      <c r="P67" s="30">
        <f>IF(ISNUMBER(SEARCH(P$3,INDEX(Exigences!$E:$E,MATCH($A67,Exigences!$A:$A,0)))),"●","")</f>
        <v/>
      </c>
      <c r="Q67" s="30">
        <f>IF(ISNUMBER(SEARCH(Q$3,INDEX(Exigences!$E:$E,MATCH($A67,Exigences!$A:$A,0)))),"●","")</f>
        <v/>
      </c>
      <c r="R67" s="30">
        <f>IF(ISNUMBER(SEARCH(R$3,INDEX(Exigences!$E:$E,MATCH($A67,Exigences!$A:$A,0)))),"●","")</f>
        <v/>
      </c>
      <c r="S67" s="30">
        <f>IF(ISNUMBER(SEARCH(S$3,INDEX(Exigences!$E:$E,MATCH($A67,Exigences!$A:$A,0)))),"●","")</f>
        <v/>
      </c>
      <c r="T67" s="30">
        <f>IF(ISNUMBER(SEARCH(T$3,INDEX(Exigences!$E:$E,MATCH($A67,Exigences!$A:$A,0)))),"●","")</f>
        <v/>
      </c>
      <c r="U67" s="30">
        <f>IF(ISNUMBER(SEARCH(U$3,INDEX(Exigences!$E:$E,MATCH($A67,Exigences!$A:$A,0)))),"●","")</f>
        <v/>
      </c>
      <c r="V67" s="30">
        <f>IF(ISNUMBER(SEARCH(V$3,INDEX(Exigences!$E:$E,MATCH($A67,Exigences!$A:$A,0)))),"●","")</f>
        <v/>
      </c>
      <c r="W67" s="30">
        <f>IF(ISNUMBER(SEARCH(W$3,INDEX(Exigences!$E:$E,MATCH($A67,Exigences!$A:$A,0)))),"●","")</f>
        <v/>
      </c>
      <c r="X67" s="30">
        <f>IF(ISNUMBER(SEARCH(X$3,INDEX(Exigences!$E:$E,MATCH($A67,Exigences!$A:$A,0)))),"●","")</f>
        <v/>
      </c>
      <c r="Y67" s="30">
        <f>COUNTIF(D67:X67,"●")</f>
        <v/>
      </c>
    </row>
    <row r="68" ht="15" customHeight="1" s="20">
      <c r="A68" s="29" t="inlineStr">
        <is>
          <t>D-V2-07</t>
        </is>
      </c>
      <c r="B68" s="29">
        <f>INDEX(Exigences!$C:$C,MATCH(A68,Exigences!$A:$A,0))</f>
        <v/>
      </c>
      <c r="C68" s="25">
        <f>INDEX(Exigences!$D:$D,MATCH(A68,Exigences!$A:$A,0))</f>
        <v/>
      </c>
      <c r="D68" s="30">
        <f>IF(ISNUMBER(SEARCH(D$3,INDEX(Exigences!$E:$E,MATCH($A68,Exigences!$A:$A,0)))),"●","")</f>
        <v/>
      </c>
      <c r="E68" s="30">
        <f>IF(ISNUMBER(SEARCH(E$3,INDEX(Exigences!$E:$E,MATCH($A68,Exigences!$A:$A,0)))),"●","")</f>
        <v/>
      </c>
      <c r="F68" s="30">
        <f>IF(ISNUMBER(SEARCH(F$3,INDEX(Exigences!$E:$E,MATCH($A68,Exigences!$A:$A,0)))),"●","")</f>
        <v/>
      </c>
      <c r="G68" s="30">
        <f>IF(ISNUMBER(SEARCH(G$3,INDEX(Exigences!$E:$E,MATCH($A68,Exigences!$A:$A,0)))),"●","")</f>
        <v/>
      </c>
      <c r="H68" s="30">
        <f>IF(ISNUMBER(SEARCH(H$3,INDEX(Exigences!$E:$E,MATCH($A68,Exigences!$A:$A,0)))),"●","")</f>
        <v/>
      </c>
      <c r="I68" s="30">
        <f>IF(ISNUMBER(SEARCH(I$3,INDEX(Exigences!$E:$E,MATCH($A68,Exigences!$A:$A,0)))),"●","")</f>
        <v/>
      </c>
      <c r="J68" s="30">
        <f>IF(ISNUMBER(SEARCH(J$3,INDEX(Exigences!$E:$E,MATCH($A68,Exigences!$A:$A,0)))),"●","")</f>
        <v/>
      </c>
      <c r="K68" s="30">
        <f>IF(ISNUMBER(SEARCH(K$3,INDEX(Exigences!$E:$E,MATCH($A68,Exigences!$A:$A,0)))),"●","")</f>
        <v/>
      </c>
      <c r="L68" s="30">
        <f>IF(ISNUMBER(SEARCH(L$3,INDEX(Exigences!$E:$E,MATCH($A68,Exigences!$A:$A,0)))),"●","")</f>
        <v/>
      </c>
      <c r="M68" s="30">
        <f>IF(ISNUMBER(SEARCH(M$3,INDEX(Exigences!$E:$E,MATCH($A68,Exigences!$A:$A,0)))),"●","")</f>
        <v/>
      </c>
      <c r="N68" s="30">
        <f>IF(ISNUMBER(SEARCH(N$3,INDEX(Exigences!$E:$E,MATCH($A68,Exigences!$A:$A,0)))),"●","")</f>
        <v/>
      </c>
      <c r="O68" s="30">
        <f>IF(ISNUMBER(SEARCH(O$3,INDEX(Exigences!$E:$E,MATCH($A68,Exigences!$A:$A,0)))),"●","")</f>
        <v/>
      </c>
      <c r="P68" s="30">
        <f>IF(ISNUMBER(SEARCH(P$3,INDEX(Exigences!$E:$E,MATCH($A68,Exigences!$A:$A,0)))),"●","")</f>
        <v/>
      </c>
      <c r="Q68" s="30">
        <f>IF(ISNUMBER(SEARCH(Q$3,INDEX(Exigences!$E:$E,MATCH($A68,Exigences!$A:$A,0)))),"●","")</f>
        <v/>
      </c>
      <c r="R68" s="30">
        <f>IF(ISNUMBER(SEARCH(R$3,INDEX(Exigences!$E:$E,MATCH($A68,Exigences!$A:$A,0)))),"●","")</f>
        <v/>
      </c>
      <c r="S68" s="30">
        <f>IF(ISNUMBER(SEARCH(S$3,INDEX(Exigences!$E:$E,MATCH($A68,Exigences!$A:$A,0)))),"●","")</f>
        <v/>
      </c>
      <c r="T68" s="30">
        <f>IF(ISNUMBER(SEARCH(T$3,INDEX(Exigences!$E:$E,MATCH($A68,Exigences!$A:$A,0)))),"●","")</f>
        <v/>
      </c>
      <c r="U68" s="30">
        <f>IF(ISNUMBER(SEARCH(U$3,INDEX(Exigences!$E:$E,MATCH($A68,Exigences!$A:$A,0)))),"●","")</f>
        <v/>
      </c>
      <c r="V68" s="30">
        <f>IF(ISNUMBER(SEARCH(V$3,INDEX(Exigences!$E:$E,MATCH($A68,Exigences!$A:$A,0)))),"●","")</f>
        <v/>
      </c>
      <c r="W68" s="30">
        <f>IF(ISNUMBER(SEARCH(W$3,INDEX(Exigences!$E:$E,MATCH($A68,Exigences!$A:$A,0)))),"●","")</f>
        <v/>
      </c>
      <c r="X68" s="30">
        <f>IF(ISNUMBER(SEARCH(X$3,INDEX(Exigences!$E:$E,MATCH($A68,Exigences!$A:$A,0)))),"●","")</f>
        <v/>
      </c>
      <c r="Y68" s="30">
        <f>COUNTIF(D68:X68,"●")</f>
        <v/>
      </c>
    </row>
    <row r="69" ht="15" customHeight="1" s="20">
      <c r="A69" s="31" t="inlineStr">
        <is>
          <t>Nb dérivées</t>
        </is>
      </c>
      <c r="B69" s="31" t="n"/>
      <c r="C69" s="32" t="n"/>
      <c r="D69" s="33">
        <f>COUNTIF(D4:D68,"●")</f>
        <v/>
      </c>
      <c r="E69" s="33">
        <f>COUNTIF(E4:E68,"●")</f>
        <v/>
      </c>
      <c r="F69" s="33">
        <f>COUNTIF(F4:F68,"●")</f>
        <v/>
      </c>
      <c r="G69" s="33">
        <f>COUNTIF(G4:G68,"●")</f>
        <v/>
      </c>
      <c r="H69" s="33">
        <f>COUNTIF(H4:H68,"●")</f>
        <v/>
      </c>
      <c r="I69" s="33">
        <f>COUNTIF(I4:I68,"●")</f>
        <v/>
      </c>
      <c r="J69" s="33">
        <f>COUNTIF(J4:J68,"●")</f>
        <v/>
      </c>
      <c r="K69" s="33">
        <f>COUNTIF(K4:K68,"●")</f>
        <v/>
      </c>
      <c r="L69" s="33">
        <f>COUNTIF(L4:L68,"●")</f>
        <v/>
      </c>
      <c r="M69" s="33">
        <f>COUNTIF(M4:M68,"●")</f>
        <v/>
      </c>
      <c r="N69" s="33">
        <f>COUNTIF(N4:N68,"●")</f>
        <v/>
      </c>
      <c r="O69" s="33">
        <f>COUNTIF(O4:O68,"●")</f>
        <v/>
      </c>
      <c r="P69" s="33">
        <f>COUNTIF(P4:P68,"●")</f>
        <v/>
      </c>
      <c r="Q69" s="33">
        <f>COUNTIF(Q4:Q68,"●")</f>
        <v/>
      </c>
      <c r="R69" s="33">
        <f>COUNTIF(R4:R68,"●")</f>
        <v/>
      </c>
      <c r="S69" s="33">
        <f>COUNTIF(S4:S68,"●")</f>
        <v/>
      </c>
      <c r="T69" s="33">
        <f>COUNTIF(T4:T68,"●")</f>
        <v/>
      </c>
      <c r="U69" s="33">
        <f>COUNTIF(U4:U68,"●")</f>
        <v/>
      </c>
      <c r="V69" s="33">
        <f>COUNTIF(V4:V68,"●")</f>
        <v/>
      </c>
      <c r="W69" s="33">
        <f>COUNTIF(W4:W68,"●")</f>
        <v/>
      </c>
      <c r="X69" s="33">
        <f>COUNTIF(X4:X68,"●")</f>
        <v/>
      </c>
      <c r="Y69" s="33">
        <f>SUM(Y4:Y68)</f>
        <v/>
      </c>
    </row>
  </sheetData>
  <conditionalFormatting sqref="D4:X68">
    <cfRule type="cellIs" rank="0" priority="2" equalAverage="0" operator="equal" aboveAverage="0" dxfId="0" text="" percent="0" bottom="0">
      <formula>"●"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10" customWidth="1" style="19" min="2" max="2"/>
    <col width="18" customWidth="1" style="19" min="3" max="3"/>
    <col width="64" customWidth="1" style="19" min="4" max="4"/>
    <col width="22" customWidth="1" style="19" min="5" max="5"/>
    <col width="6" customWidth="1" style="19" min="6" max="6"/>
    <col width="7" customWidth="1" style="19" min="7" max="7"/>
    <col width="11" customWidth="1" style="19" min="8" max="8"/>
    <col width="34" customWidth="1" style="20" min="9" max="9"/>
  </cols>
  <sheetData>
    <row r="1" ht="23.25" customHeight="1" s="20">
      <c r="A1" s="23" t="inlineStr">
        <is>
          <t>ID</t>
        </is>
      </c>
      <c r="B1" s="23" t="inlineStr">
        <is>
          <t>Type</t>
        </is>
      </c>
      <c r="C1" s="23" t="inlineStr">
        <is>
          <t>Famille / bloc</t>
        </is>
      </c>
      <c r="D1" s="23" t="inlineStr">
        <is>
          <t>Exigence</t>
        </is>
      </c>
      <c r="E1" s="23" t="inlineStr">
        <is>
          <t>Origines (liens amont)</t>
        </is>
      </c>
      <c r="F1" s="23" t="inlineStr">
        <is>
          <t>Prio</t>
        </is>
      </c>
      <c r="G1" s="23" t="inlineStr">
        <is>
          <t>Vérif.</t>
        </is>
      </c>
      <c r="H1" s="23" t="inlineStr">
        <is>
          <t>Nb dérivées</t>
        </is>
      </c>
      <c r="I1" s="23" t="inlineStr">
        <is>
          <t>Statut</t>
        </is>
      </c>
    </row>
    <row r="2" ht="15" customHeight="1" s="20">
      <c r="A2" s="24" t="inlineStr">
        <is>
          <t>EX-A1</t>
        </is>
      </c>
      <c r="B2" s="34" t="inlineStr">
        <is>
          <t>Origine</t>
        </is>
      </c>
      <c r="C2" s="34" t="inlineStr">
        <is>
          <t>A</t>
        </is>
      </c>
      <c r="D2" s="34" t="inlineStr">
        <is>
          <t>Plusieurs jeux disponibles, avec possibilité d'en ajouter plus tard</t>
        </is>
      </c>
      <c r="E2" s="34" t="n"/>
      <c r="F2" s="34" t="n"/>
      <c r="G2" s="34" t="n"/>
      <c r="H2" s="34">
        <f>COUNTIF($E$2:$E$200,"*"&amp;A2&amp;"*")</f>
        <v/>
      </c>
    </row>
    <row r="3" ht="15" customHeight="1" s="20">
      <c r="A3" s="24" t="inlineStr">
        <is>
          <t>EX-A2</t>
        </is>
      </c>
      <c r="B3" s="34" t="inlineStr">
        <is>
          <t>Origine</t>
        </is>
      </c>
      <c r="C3" s="34" t="inlineStr">
        <is>
          <t>A</t>
        </is>
      </c>
      <c r="D3" s="34" t="inlineStr">
        <is>
          <t>Multijoueur jusqu'à 8 joueurs</t>
        </is>
      </c>
      <c r="E3" s="34" t="n"/>
      <c r="F3" s="34" t="n"/>
      <c r="G3" s="34" t="n"/>
      <c r="H3" s="34">
        <f>COUNTIF($E$2:$E$200,"*"&amp;A3&amp;"*")</f>
        <v/>
      </c>
    </row>
    <row r="4" ht="15" customHeight="1" s="20">
      <c r="A4" s="24" t="inlineStr">
        <is>
          <t>EX-A3</t>
        </is>
      </c>
      <c r="B4" s="34" t="inlineStr">
        <is>
          <t>Origine</t>
        </is>
      </c>
      <c r="C4" s="34" t="inlineStr">
        <is>
          <t>A</t>
        </is>
      </c>
      <c r="D4" s="34" t="inlineStr">
        <is>
          <t>Salons locaux façon DS, sans hébergement coûteux (gratuité)</t>
        </is>
      </c>
      <c r="E4" s="34" t="n"/>
      <c r="F4" s="34" t="n"/>
      <c r="G4" s="34" t="n"/>
      <c r="H4" s="34">
        <f>COUNTIF($E$2:$E$200,"*"&amp;A4&amp;"*")</f>
        <v/>
      </c>
    </row>
    <row r="5" ht="15" customHeight="1" s="20">
      <c r="A5" s="24" t="inlineStr">
        <is>
          <t>EX-B1</t>
        </is>
      </c>
      <c r="B5" s="34" t="inlineStr">
        <is>
          <t>Origine</t>
        </is>
      </c>
      <c r="C5" s="34" t="inlineStr">
        <is>
          <t>B</t>
        </is>
      </c>
      <c r="D5" s="34" t="inlineStr">
        <is>
          <t>Thème générique au début, graphismes à définir plus tard</t>
        </is>
      </c>
      <c r="E5" s="34" t="n"/>
      <c r="F5" s="34" t="n"/>
      <c r="G5" s="34" t="n"/>
      <c r="H5" s="34">
        <f>COUNTIF($E$2:$E$200,"*"&amp;A5&amp;"*")</f>
        <v/>
      </c>
    </row>
    <row r="6" ht="15" customHeight="1" s="20">
      <c r="A6" s="24" t="inlineStr">
        <is>
          <t>EX-C1</t>
        </is>
      </c>
      <c r="B6" s="34" t="inlineStr">
        <is>
          <t>Origine</t>
        </is>
      </c>
      <c r="C6" s="34" t="inlineStr">
        <is>
          <t>C</t>
        </is>
      </c>
      <c r="D6" s="34" t="inlineStr">
        <is>
          <t>Jeux de plateau (petits chevaux, Monopoly, échecs, dames...)</t>
        </is>
      </c>
      <c r="E6" s="34" t="n"/>
      <c r="F6" s="34" t="n"/>
      <c r="G6" s="34" t="n"/>
      <c r="H6" s="34">
        <f>COUNTIF($E$2:$E$200,"*"&amp;A6&amp;"*")</f>
        <v/>
      </c>
    </row>
    <row r="7" ht="15" customHeight="1" s="20">
      <c r="A7" s="24" t="inlineStr">
        <is>
          <t>EX-C2</t>
        </is>
      </c>
      <c r="B7" s="34" t="inlineStr">
        <is>
          <t>Origine</t>
        </is>
      </c>
      <c r="C7" s="34" t="inlineStr">
        <is>
          <t>C</t>
        </is>
      </c>
      <c r="D7" s="34" t="inlineStr">
        <is>
          <t>Jeux de cartes</t>
        </is>
      </c>
      <c r="E7" s="34" t="n"/>
      <c r="F7" s="34" t="n"/>
      <c r="G7" s="34" t="n"/>
      <c r="H7" s="34">
        <f>COUNTIF($E$2:$E$200,"*"&amp;A7&amp;"*")</f>
        <v/>
      </c>
    </row>
    <row r="8" ht="15" customHeight="1" s="20">
      <c r="A8" s="24" t="inlineStr">
        <is>
          <t>EX-C3</t>
        </is>
      </c>
      <c r="B8" s="34" t="inlineStr">
        <is>
          <t>Origine</t>
        </is>
      </c>
      <c r="C8" s="34" t="inlineStr">
        <is>
          <t>C</t>
        </is>
      </c>
      <c r="D8" s="34" t="inlineStr">
        <is>
          <t>Jouable sur n'importe quel téléphone</t>
        </is>
      </c>
      <c r="E8" s="34" t="n"/>
      <c r="F8" s="34" t="n"/>
      <c r="G8" s="34" t="n"/>
      <c r="H8" s="34">
        <f>COUNTIF($E$2:$E$200,"*"&amp;A8&amp;"*")</f>
        <v/>
      </c>
    </row>
    <row r="9" ht="15" customHeight="1" s="20">
      <c r="A9" s="24" t="inlineStr">
        <is>
          <t>EX-D1</t>
        </is>
      </c>
      <c r="B9" s="34" t="inlineStr">
        <is>
          <t>Origine</t>
        </is>
      </c>
      <c r="C9" s="34" t="inlineStr">
        <is>
          <t>D</t>
        </is>
      </c>
      <c r="D9" s="34" t="inlineStr">
        <is>
          <t>Aucun compte à créer</t>
        </is>
      </c>
      <c r="E9" s="34" t="n"/>
      <c r="F9" s="34" t="n"/>
      <c r="G9" s="34" t="n"/>
      <c r="H9" s="34">
        <f>COUNTIF($E$2:$E$200,"*"&amp;A9&amp;"*")</f>
        <v/>
      </c>
    </row>
    <row r="10" ht="15" customHeight="1" s="20">
      <c r="A10" s="24" t="inlineStr">
        <is>
          <t>EX-D2</t>
        </is>
      </c>
      <c r="B10" s="34" t="inlineStr">
        <is>
          <t>Origine</t>
        </is>
      </c>
      <c r="C10" s="34" t="inlineStr">
        <is>
          <t>D</t>
        </is>
      </c>
      <c r="D10" s="34" t="inlineStr">
        <is>
          <t>Gestion simplifiée : menu Jeux + menu Paramètres</t>
        </is>
      </c>
      <c r="E10" s="34" t="n"/>
      <c r="F10" s="34" t="n"/>
      <c r="G10" s="34" t="n"/>
      <c r="H10" s="34">
        <f>COUNTIF($E$2:$E$200,"*"&amp;A10&amp;"*")</f>
        <v/>
      </c>
    </row>
    <row r="11" ht="15" customHeight="1" s="20">
      <c r="A11" s="24" t="inlineStr">
        <is>
          <t>EX-E1</t>
        </is>
      </c>
      <c r="B11" s="34" t="inlineStr">
        <is>
          <t>Origine</t>
        </is>
      </c>
      <c r="C11" s="34" t="inlineStr">
        <is>
          <t>E</t>
        </is>
      </c>
      <c r="D11" s="34" t="inlineStr">
        <is>
          <t>Plus tard : jeux solo 2D variés (type Hollow Knight)</t>
        </is>
      </c>
      <c r="E11" s="34" t="n"/>
      <c r="F11" s="34" t="n"/>
      <c r="G11" s="34" t="n"/>
      <c r="H11" s="34">
        <f>COUNTIF($E$2:$E$200,"*"&amp;A11&amp;"*")</f>
        <v/>
      </c>
    </row>
    <row r="12" ht="15" customHeight="1" s="20">
      <c r="A12" s="24" t="inlineStr">
        <is>
          <t>EX-E2</t>
        </is>
      </c>
      <c r="B12" s="34" t="inlineStr">
        <is>
          <t>Origine</t>
        </is>
      </c>
      <c r="C12" s="34" t="inlineStr">
        <is>
          <t>E</t>
        </is>
      </c>
      <c r="D12" s="34" t="inlineStr">
        <is>
          <t>Plus tard : thèmes applicables aux jeux multi</t>
        </is>
      </c>
      <c r="E12" s="34" t="n"/>
      <c r="F12" s="34" t="n"/>
      <c r="G12" s="34" t="n"/>
      <c r="H12" s="34">
        <f>COUNTIF($E$2:$E$200,"*"&amp;A12&amp;"*")</f>
        <v/>
      </c>
    </row>
    <row r="13" ht="15" customHeight="1" s="20">
      <c r="A13" s="24" t="inlineStr">
        <is>
          <t>EX-E3</t>
        </is>
      </c>
      <c r="B13" s="34" t="inlineStr">
        <is>
          <t>Origine</t>
        </is>
      </c>
      <c r="C13" s="34" t="inlineStr">
        <is>
          <t>E</t>
        </is>
      </c>
      <c r="D13" s="34" t="inlineStr">
        <is>
          <t>Plus tard : serveur de comptes (contact, données bancaires)</t>
        </is>
      </c>
      <c r="E13" s="34" t="n"/>
      <c r="F13" s="34" t="n"/>
      <c r="G13" s="34" t="n"/>
      <c r="H13" s="34">
        <f>COUNTIF($E$2:$E$200,"*"&amp;A13&amp;"*")</f>
        <v/>
      </c>
    </row>
    <row r="14" ht="15" customHeight="1" s="20">
      <c r="A14" s="24" t="inlineStr">
        <is>
          <t>EX-E4</t>
        </is>
      </c>
      <c r="B14" s="34" t="inlineStr">
        <is>
          <t>Origine</t>
        </is>
      </c>
      <c r="C14" s="34" t="inlineStr">
        <is>
          <t>E</t>
        </is>
      </c>
      <c r="D14" s="34" t="inlineStr">
        <is>
          <t>Plus tard : sécurité de l'appli et du serveur</t>
        </is>
      </c>
      <c r="E14" s="34" t="n"/>
      <c r="F14" s="34" t="n"/>
      <c r="G14" s="34" t="n"/>
      <c r="H14" s="34">
        <f>COUNTIF($E$2:$E$200,"*"&amp;A14&amp;"*")</f>
        <v/>
      </c>
    </row>
    <row r="15" ht="15" customHeight="1" s="20">
      <c r="A15" s="27" t="inlineStr">
        <is>
          <t>DC-1</t>
        </is>
      </c>
      <c r="B15" s="35" t="inlineStr">
        <is>
          <t>Décision</t>
        </is>
      </c>
      <c r="C15" s="35" t="inlineStr">
        <is>
          <t>Cadrage</t>
        </is>
      </c>
      <c r="D15" s="35" t="inlineStr">
        <is>
          <t>V1 en PWA ; V2 sur les stores (solo, monétisation)</t>
        </is>
      </c>
      <c r="E15" s="35" t="n"/>
      <c r="F15" s="35" t="n"/>
      <c r="G15" s="35" t="n"/>
      <c r="H15" s="35">
        <f>COUNTIF($E$2:$E$200,"*"&amp;A15&amp;"*")</f>
        <v/>
      </c>
    </row>
    <row r="16" ht="15" customHeight="1" s="20">
      <c r="A16" s="27" t="inlineStr">
        <is>
          <t>DC-2</t>
        </is>
      </c>
      <c r="B16" s="35" t="inlineStr">
        <is>
          <t>Décision</t>
        </is>
      </c>
      <c r="C16" s="35" t="inlineStr">
        <is>
          <t>Cadrage</t>
        </is>
      </c>
      <c r="D16" s="35" t="inlineStr">
        <is>
          <t>MVP : Petits chevaux + Huit américain + mode un seul téléphone</t>
        </is>
      </c>
      <c r="E16" s="35" t="n"/>
      <c r="F16" s="35" t="n"/>
      <c r="G16" s="35" t="n"/>
      <c r="H16" s="35">
        <f>COUNTIF($E$2:$E$200,"*"&amp;A16&amp;"*")</f>
        <v/>
      </c>
    </row>
    <row r="17" ht="15" customHeight="1" s="20">
      <c r="A17" s="27" t="inlineStr">
        <is>
          <t>DC-3</t>
        </is>
      </c>
      <c r="B17" s="35" t="inlineStr">
        <is>
          <t>Décision</t>
        </is>
      </c>
      <c r="C17" s="35" t="inlineStr">
        <is>
          <t>Cadrage</t>
        </is>
      </c>
      <c r="D17" s="35" t="inlineStr">
        <is>
          <t>Jeu à distance « au mieux » en V1, sans relais payant</t>
        </is>
      </c>
      <c r="E17" s="35" t="n"/>
      <c r="F17" s="35" t="n"/>
      <c r="G17" s="35" t="n"/>
      <c r="H17" s="35">
        <f>COUNTIF($E$2:$E$200,"*"&amp;A17&amp;"*")</f>
        <v/>
      </c>
    </row>
    <row r="18" ht="15" customHeight="1" s="20">
      <c r="A18" s="27" t="inlineStr">
        <is>
          <t>DC-4</t>
        </is>
      </c>
      <c r="B18" s="35" t="inlineStr">
        <is>
          <t>Décision</t>
        </is>
      </c>
      <c r="C18" s="35" t="inlineStr">
        <is>
          <t>Cadrage</t>
        </is>
      </c>
      <c r="D18" s="35" t="inlineStr">
        <is>
          <t>Joueur parti remplacé par un ordinateur ; hôte parti = pause</t>
        </is>
      </c>
      <c r="E18" s="35" t="n"/>
      <c r="F18" s="35" t="n"/>
      <c r="G18" s="35" t="n"/>
      <c r="H18" s="35">
        <f>COUNTIF($E$2:$E$200,"*"&amp;A18&amp;"*")</f>
        <v/>
      </c>
    </row>
    <row r="19" ht="15" customHeight="1" s="20">
      <c r="A19" s="27" t="inlineStr">
        <is>
          <t>DC-5</t>
        </is>
      </c>
      <c r="B19" s="35" t="inlineStr">
        <is>
          <t>Décision</t>
        </is>
      </c>
      <c r="C19" s="35" t="inlineStr">
        <is>
          <t>Cadrage</t>
        </is>
      </c>
      <c r="D19" s="35" t="inlineStr">
        <is>
          <t>Adversaires ordinateur dès la V1</t>
        </is>
      </c>
      <c r="E19" s="35" t="n"/>
      <c r="F19" s="35" t="n"/>
      <c r="G19" s="35" t="n"/>
      <c r="H19" s="35">
        <f>COUNTIF($E$2:$E$200,"*"&amp;A19&amp;"*")</f>
        <v/>
      </c>
    </row>
    <row r="20" ht="15" customHeight="1" s="20">
      <c r="A20" s="27" t="inlineStr">
        <is>
          <t>DC-6</t>
        </is>
      </c>
      <c r="B20" s="35" t="inlineStr">
        <is>
          <t>Décision</t>
        </is>
      </c>
      <c r="C20" s="35" t="inlineStr">
        <is>
          <t>Cadrage</t>
        </is>
      </c>
      <c r="D20" s="35" t="inlineStr">
        <is>
          <t>Noms et plateaux originaux pour les jeux sous marque</t>
        </is>
      </c>
      <c r="E20" s="35" t="n"/>
      <c r="F20" s="35" t="n"/>
      <c r="G20" s="35" t="n"/>
      <c r="H20" s="35">
        <f>COUNTIF($E$2:$E$200,"*"&amp;A20&amp;"*")</f>
        <v/>
      </c>
    </row>
    <row r="21" ht="15" customHeight="1" s="20">
      <c r="A21" s="27" t="inlineStr">
        <is>
          <t>DC-7</t>
        </is>
      </c>
      <c r="B21" s="35" t="inlineStr">
        <is>
          <t>Décision</t>
        </is>
      </c>
      <c r="C21" s="35" t="inlineStr">
        <is>
          <t>Cadrage</t>
        </is>
      </c>
      <c r="D21" s="35" t="inlineStr">
        <is>
          <t>Français et anglais dès la V1</t>
        </is>
      </c>
      <c r="E21" s="35" t="n"/>
      <c r="F21" s="35" t="n"/>
      <c r="G21" s="35" t="n"/>
      <c r="H21" s="35">
        <f>COUNTIF($E$2:$E$200,"*"&amp;A21&amp;"*")</f>
        <v/>
      </c>
    </row>
    <row r="22" ht="15" customHeight="1" s="20">
      <c r="A22" s="27" t="inlineStr">
        <is>
          <t>DC-8</t>
        </is>
      </c>
      <c r="B22" s="35" t="inlineStr">
        <is>
          <t>Décision</t>
        </is>
      </c>
      <c r="C22" s="35" t="inlineStr">
        <is>
          <t>Cadrage</t>
        </is>
      </c>
      <c r="D22" s="35" t="inlineStr">
        <is>
          <t>Adresse github.io gratuite</t>
        </is>
      </c>
      <c r="E22" s="35" t="n"/>
      <c r="F22" s="35" t="n"/>
      <c r="G22" s="35" t="n"/>
      <c r="H22" s="35">
        <f>COUNTIF($E$2:$E$200,"*"&amp;A22&amp;"*")</f>
        <v/>
      </c>
    </row>
    <row r="23" ht="15" customHeight="1" s="20">
      <c r="A23" s="36" t="inlineStr">
        <is>
          <t>D-A1-01</t>
        </is>
      </c>
      <c r="B23" s="25" t="inlineStr">
        <is>
          <t>Dérivée</t>
        </is>
      </c>
      <c r="C23" s="25" t="inlineStr">
        <is>
          <t>Architecture</t>
        </is>
      </c>
      <c r="D23" s="25" t="inlineStr">
        <is>
          <t>PWA en TypeScript, jeux avec Phaser 3, menus HTML/CSS</t>
        </is>
      </c>
      <c r="E23" s="25" t="inlineStr">
        <is>
          <t>EX-A1, DC-1</t>
        </is>
      </c>
      <c r="F23" s="25" t="inlineStr">
        <is>
          <t>M</t>
        </is>
      </c>
      <c r="G23" s="25" t="inlineStr">
        <is>
          <t>R</t>
        </is>
      </c>
      <c r="H23" s="25" t="n"/>
      <c r="I23" s="25" t="inlineStr">
        <is>
          <t>Codé (PR #1), à vérifier avec les jeux ; à revoir en fin de dev</t>
        </is>
      </c>
    </row>
    <row r="24" ht="15" customHeight="1" s="20">
      <c r="A24" s="36" t="inlineStr">
        <is>
          <t>D-A1-02</t>
        </is>
      </c>
      <c r="B24" s="25" t="inlineStr">
        <is>
          <t>Dérivée</t>
        </is>
      </c>
      <c r="C24" s="25" t="inlineStr">
        <is>
          <t>Module de jeu</t>
        </is>
      </c>
      <c r="D24" s="25" t="inlineStr">
        <is>
          <t>Chaque jeu implémente une interface commune (contrat de jeu)</t>
        </is>
      </c>
      <c r="E24" s="25" t="inlineStr">
        <is>
          <t>EX-A1</t>
        </is>
      </c>
      <c r="F24" s="25" t="inlineStr">
        <is>
          <t>M</t>
        </is>
      </c>
      <c r="G24" s="25" t="inlineStr">
        <is>
          <t>R</t>
        </is>
      </c>
      <c r="H24" s="25" t="n"/>
      <c r="I24" s="25" t="inlineStr">
        <is>
          <t>Codé (PR #1), à vérifier avec les jeux</t>
        </is>
      </c>
    </row>
    <row r="25" ht="15" customHeight="1" s="20">
      <c r="A25" s="36" t="inlineStr">
        <is>
          <t>D-A1-03</t>
        </is>
      </c>
      <c r="B25" s="25" t="inlineStr">
        <is>
          <t>Dérivée</t>
        </is>
      </c>
      <c r="C25" s="25" t="inlineStr">
        <is>
          <t>Module de jeu</t>
        </is>
      </c>
      <c r="D25" s="25" t="inlineStr">
        <is>
          <t>Règles = fonctions pures, testées sans téléphone</t>
        </is>
      </c>
      <c r="E25" s="25" t="inlineStr">
        <is>
          <t>EX-A1</t>
        </is>
      </c>
      <c r="F25" s="25" t="inlineStr">
        <is>
          <t>M</t>
        </is>
      </c>
      <c r="G25" s="25" t="inlineStr">
        <is>
          <t>T</t>
        </is>
      </c>
      <c r="H25" s="25" t="n"/>
      <c r="I25" s="25" t="inlineStr">
        <is>
          <t>Codé (PR #1, Petits chevaux PR #4), à vérifier avec les jeux</t>
        </is>
      </c>
    </row>
    <row r="26" ht="15" customHeight="1" s="20">
      <c r="A26" s="36" t="inlineStr">
        <is>
          <t>D-A1-04</t>
        </is>
      </c>
      <c r="B26" s="25" t="inlineStr">
        <is>
          <t>Dérivée</t>
        </is>
      </c>
      <c r="C26" s="25" t="inlineStr">
        <is>
          <t>Registre des jeux</t>
        </is>
      </c>
      <c r="D26" s="25" t="inlineStr">
        <is>
          <t>Un registre liste les jeux ; le menu Jeux s'en construit</t>
        </is>
      </c>
      <c r="E26" s="25" t="inlineStr">
        <is>
          <t>EX-A1, EX-D2</t>
        </is>
      </c>
      <c r="F26" s="25" t="inlineStr">
        <is>
          <t>M</t>
        </is>
      </c>
      <c r="G26" s="25" t="inlineStr">
        <is>
          <t>T</t>
        </is>
      </c>
      <c r="H26" s="25" t="n"/>
      <c r="I26" s="25" t="inlineStr">
        <is>
          <t>Codé (PR #1), à vérifier avec les jeux</t>
        </is>
      </c>
    </row>
    <row r="27" ht="15" customHeight="1" s="20">
      <c r="A27" s="36" t="inlineStr">
        <is>
          <t>D-A1-05</t>
        </is>
      </c>
      <c r="B27" s="25" t="inlineStr">
        <is>
          <t>Dérivée</t>
        </is>
      </c>
      <c r="C27" s="25" t="inlineStr">
        <is>
          <t>Registre des jeux</t>
        </is>
      </c>
      <c r="D27" s="25" t="inlineStr">
        <is>
          <t>Ajouter un jeu = ajouter un dossier, sans toucher au noyau</t>
        </is>
      </c>
      <c r="E27" s="25" t="inlineStr">
        <is>
          <t>EX-A1</t>
        </is>
      </c>
      <c r="F27" s="25" t="inlineStr">
        <is>
          <t>M</t>
        </is>
      </c>
      <c r="G27" s="25" t="inlineStr">
        <is>
          <t>R</t>
        </is>
      </c>
      <c r="H27" s="25" t="n"/>
      <c r="I27" s="25" t="inlineStr">
        <is>
          <t>Codé (PR #1), à vérifier avec les jeux</t>
        </is>
      </c>
    </row>
    <row r="28" ht="15" customHeight="1" s="20">
      <c r="A28" s="36" t="inlineStr">
        <is>
          <t>D-A1-06</t>
        </is>
      </c>
      <c r="B28" s="25" t="inlineStr">
        <is>
          <t>Dérivée</t>
        </is>
      </c>
      <c r="C28" s="25" t="inlineStr">
        <is>
          <t>Session</t>
        </is>
      </c>
      <c r="D28" s="25" t="inlineStr">
        <is>
          <t>Mode un téléphone et mode réseau : même code de règles</t>
        </is>
      </c>
      <c r="E28" s="25" t="inlineStr">
        <is>
          <t>EX-A1, DC-2</t>
        </is>
      </c>
      <c r="F28" s="25" t="inlineStr">
        <is>
          <t>M</t>
        </is>
      </c>
      <c r="G28" s="25" t="inlineStr">
        <is>
          <t>T</t>
        </is>
      </c>
      <c r="H28" s="25" t="n"/>
      <c r="I28" s="25" t="inlineStr">
        <is>
          <t>Codé pour le mode un téléphone (PR #4) ; mode réseau à l'étape 3</t>
        </is>
      </c>
    </row>
    <row r="29" ht="15" customHeight="1" s="20">
      <c r="A29" s="36" t="inlineStr">
        <is>
          <t>D-A1-07</t>
        </is>
      </c>
      <c r="B29" s="25" t="inlineStr">
        <is>
          <t>Dérivée</t>
        </is>
      </c>
      <c r="C29" s="25" t="inlineStr">
        <is>
          <t>Module de jeu</t>
        </is>
      </c>
      <c r="D29" s="25" t="inlineStr">
        <is>
          <t>Hasard issu d'une graine, partie rejouable à l'identique</t>
        </is>
      </c>
      <c r="E29" s="25" t="inlineStr">
        <is>
          <t>EX-A1</t>
        </is>
      </c>
      <c r="F29" s="25" t="inlineStr">
        <is>
          <t>M</t>
        </is>
      </c>
      <c r="G29" s="25" t="inlineStr">
        <is>
          <t>T</t>
        </is>
      </c>
      <c r="H29" s="25" t="n"/>
      <c r="I29" s="25" t="inlineStr">
        <is>
          <t>Codé (PR #1, Petits chevaux PR #4), à vérifier avec les jeux</t>
        </is>
      </c>
    </row>
    <row r="30" ht="15" customHeight="1" s="20">
      <c r="A30" s="36" t="inlineStr">
        <is>
          <t>D-A1-08</t>
        </is>
      </c>
      <c r="B30" s="25" t="inlineStr">
        <is>
          <t>Dérivée</t>
        </is>
      </c>
      <c r="C30" s="25" t="inlineStr">
        <is>
          <t>Réseau WebRTC</t>
        </is>
      </c>
      <c r="D30" s="25" t="inlineStr">
        <is>
          <t>Versions du protocole et des jeux vérifiées à l'entrée du salon</t>
        </is>
      </c>
      <c r="E30" s="25" t="inlineStr">
        <is>
          <t>EX-A1, EX-A3</t>
        </is>
      </c>
      <c r="F30" s="25" t="inlineStr">
        <is>
          <t>S</t>
        </is>
      </c>
      <c r="G30" s="25" t="inlineStr">
        <is>
          <t>T</t>
        </is>
      </c>
      <c r="H30" s="25" t="n"/>
      <c r="I30" s="25" t="inlineStr">
        <is>
          <t>Codé (PR #3), à vérifier avec les jeux</t>
        </is>
      </c>
    </row>
    <row r="31" ht="15" customHeight="1" s="20">
      <c r="A31" s="36" t="inlineStr">
        <is>
          <t>D-A1-09</t>
        </is>
      </c>
      <c r="B31" s="25" t="inlineStr">
        <is>
          <t>Dérivée</t>
        </is>
      </c>
      <c r="C31" s="25" t="inlineStr">
        <is>
          <t>Écran et thème</t>
        </is>
      </c>
      <c r="D31" s="25" t="inlineStr">
        <is>
          <t>Images, sons et couleurs lus dans un pack de thème</t>
        </is>
      </c>
      <c r="E31" s="25" t="inlineStr">
        <is>
          <t>EX-B1, EX-E2</t>
        </is>
      </c>
      <c r="F31" s="25" t="inlineStr">
        <is>
          <t>M</t>
        </is>
      </c>
      <c r="G31" s="25" t="inlineStr">
        <is>
          <t>R</t>
        </is>
      </c>
      <c r="H31" s="25" t="n"/>
      <c r="I31" s="25" t="inlineStr">
        <is>
          <t>Codé pour Petits chevaux (PR #4), à vérifier avec les jeux</t>
        </is>
      </c>
    </row>
    <row r="32" ht="15" customHeight="1" s="20">
      <c r="A32" s="36" t="inlineStr">
        <is>
          <t>D-A1-10</t>
        </is>
      </c>
      <c r="B32" s="25" t="inlineStr">
        <is>
          <t>Dérivée</t>
        </is>
      </c>
      <c r="C32" s="25" t="inlineStr">
        <is>
          <t>Registre des jeux</t>
        </is>
      </c>
      <c r="D32" s="25" t="inlineStr">
        <is>
          <t>Le noyau ne connaît aucune règle de jeu</t>
        </is>
      </c>
      <c r="E32" s="25" t="inlineStr">
        <is>
          <t>EX-A1</t>
        </is>
      </c>
      <c r="F32" s="25" t="inlineStr">
        <is>
          <t>M</t>
        </is>
      </c>
      <c r="G32" s="25" t="inlineStr">
        <is>
          <t>R</t>
        </is>
      </c>
      <c r="H32" s="25" t="n"/>
      <c r="I32" s="25" t="inlineStr">
        <is>
          <t>Codé (PR #1), à vérifier avec les jeux</t>
        </is>
      </c>
    </row>
    <row r="33" ht="15" customHeight="1" s="20">
      <c r="A33" s="36" t="inlineStr">
        <is>
          <t>D-A2-01</t>
        </is>
      </c>
      <c r="B33" s="25" t="inlineStr">
        <is>
          <t>Dérivée</t>
        </is>
      </c>
      <c r="C33" s="25" t="inlineStr">
        <is>
          <t>Session</t>
        </is>
      </c>
      <c r="D33" s="25" t="inlineStr">
        <is>
          <t>Jusqu'à 8 joueurs (humains + ordinateurs) selon le jeu</t>
        </is>
      </c>
      <c r="E33" s="25" t="inlineStr">
        <is>
          <t>EX-A2</t>
        </is>
      </c>
      <c r="F33" s="25" t="inlineStr">
        <is>
          <t>M</t>
        </is>
      </c>
      <c r="G33" s="25" t="inlineStr">
        <is>
          <t>T</t>
        </is>
      </c>
      <c r="H33" s="25" t="n"/>
      <c r="I33" s="25" t="inlineStr">
        <is>
          <t>Codé (PR #1), à vérifier avec les jeux</t>
        </is>
      </c>
    </row>
    <row r="34" ht="15" customHeight="1" s="20">
      <c r="A34" s="36" t="inlineStr">
        <is>
          <t>D-A2-02</t>
        </is>
      </c>
      <c r="B34" s="25" t="inlineStr">
        <is>
          <t>Dérivée</t>
        </is>
      </c>
      <c r="C34" s="25" t="inlineStr">
        <is>
          <t>Session</t>
        </is>
      </c>
      <c r="D34" s="25" t="inlineStr">
        <is>
          <t>L'hôte valide chaque coup via le contrat</t>
        </is>
      </c>
      <c r="E34" s="25" t="inlineStr">
        <is>
          <t>EX-A1, EX-E4</t>
        </is>
      </c>
      <c r="F34" s="25" t="inlineStr">
        <is>
          <t>M</t>
        </is>
      </c>
      <c r="G34" s="25" t="inlineStr">
        <is>
          <t>T</t>
        </is>
      </c>
      <c r="H34" s="25" t="n"/>
      <c r="I34" s="25" t="inlineStr">
        <is>
          <t>Codé (PR #1), à vérifier avec les jeux</t>
        </is>
      </c>
    </row>
    <row r="35" ht="15" customHeight="1" s="20">
      <c r="A35" s="36" t="inlineStr">
        <is>
          <t>D-A2-03</t>
        </is>
      </c>
      <c r="B35" s="25" t="inlineStr">
        <is>
          <t>Dérivée</t>
        </is>
      </c>
      <c r="C35" s="25" t="inlineStr">
        <is>
          <t>Session</t>
        </is>
      </c>
      <c r="D35" s="25" t="inlineStr">
        <is>
          <t>Chaque joueur ne reçoit que sa vue (mains cachées)</t>
        </is>
      </c>
      <c r="E35" s="25" t="inlineStr">
        <is>
          <t>EX-C2</t>
        </is>
      </c>
      <c r="F35" s="25" t="inlineStr">
        <is>
          <t>M</t>
        </is>
      </c>
      <c r="G35" s="25" t="inlineStr">
        <is>
          <t>T</t>
        </is>
      </c>
      <c r="H35" s="25" t="n"/>
      <c r="I35" s="25" t="inlineStr">
        <is>
          <t>Socle posé (PR #1)</t>
        </is>
      </c>
    </row>
    <row r="36" ht="15" customHeight="1" s="20">
      <c r="A36" s="36" t="inlineStr">
        <is>
          <t>D-A2-04</t>
        </is>
      </c>
      <c r="B36" s="25" t="inlineStr">
        <is>
          <t>Dérivée</t>
        </is>
      </c>
      <c r="C36" s="25" t="inlineStr">
        <is>
          <t>Session</t>
        </is>
      </c>
      <c r="D36" s="25" t="inlineStr">
        <is>
          <t>Invité parti remplacé par un ordinateur jusqu'à son retour</t>
        </is>
      </c>
      <c r="E36" s="25" t="inlineStr">
        <is>
          <t>DC-4</t>
        </is>
      </c>
      <c r="F36" s="25" t="inlineStr">
        <is>
          <t>M</t>
        </is>
      </c>
      <c r="G36" s="25" t="inlineStr">
        <is>
          <t>M</t>
        </is>
      </c>
      <c r="H36" s="25" t="n"/>
      <c r="I36" s="25" t="inlineStr">
        <is>
          <t>Socle posé (PR #1)</t>
        </is>
      </c>
    </row>
    <row r="37" ht="15" customHeight="1" s="20">
      <c r="A37" s="36" t="inlineStr">
        <is>
          <t>D-A2-05</t>
        </is>
      </c>
      <c r="B37" s="25" t="inlineStr">
        <is>
          <t>Dérivée</t>
        </is>
      </c>
      <c r="C37" s="25" t="inlineStr">
        <is>
          <t>Session</t>
        </is>
      </c>
      <c r="D37" s="25" t="inlineStr">
        <is>
          <t>Hôte parti : pause pour tous, reprise depuis la sauvegarde</t>
        </is>
      </c>
      <c r="E37" s="25" t="inlineStr">
        <is>
          <t>DC-4</t>
        </is>
      </c>
      <c r="F37" s="25" t="inlineStr">
        <is>
          <t>M</t>
        </is>
      </c>
      <c r="G37" s="25" t="inlineStr">
        <is>
          <t>M</t>
        </is>
      </c>
      <c r="H37" s="25" t="n"/>
      <c r="I37" s="25" t="inlineStr">
        <is>
          <t>Socle posé (PR #1)</t>
        </is>
      </c>
    </row>
    <row r="38" ht="15" customHeight="1" s="20">
      <c r="A38" s="36" t="inlineStr">
        <is>
          <t>D-A2-06</t>
        </is>
      </c>
      <c r="B38" s="25" t="inlineStr">
        <is>
          <t>Dérivée</t>
        </is>
      </c>
      <c r="C38" s="25" t="inlineStr">
        <is>
          <t>Session</t>
        </is>
      </c>
      <c r="D38" s="25" t="inlineStr">
        <is>
          <t>Écran de l'hôte gardé allumé pendant la partie</t>
        </is>
      </c>
      <c r="E38" s="25" t="inlineStr">
        <is>
          <t>DC-4</t>
        </is>
      </c>
      <c r="F38" s="25" t="inlineStr">
        <is>
          <t>M</t>
        </is>
      </c>
      <c r="G38" s="25" t="inlineStr">
        <is>
          <t>M</t>
        </is>
      </c>
      <c r="H38" s="25" t="n"/>
      <c r="I38" s="25" t="inlineStr">
        <is>
          <t>À faire</t>
        </is>
      </c>
    </row>
    <row r="39" ht="15" customHeight="1" s="20">
      <c r="A39" s="36" t="inlineStr">
        <is>
          <t>D-A2-07</t>
        </is>
      </c>
      <c r="B39" s="25" t="inlineStr">
        <is>
          <t>Dérivée</t>
        </is>
      </c>
      <c r="C39" s="25" t="inlineStr">
        <is>
          <t>Session</t>
        </is>
      </c>
      <c r="D39" s="25" t="inlineStr">
        <is>
          <t>Mode un seul téléphone : même session, sans réseau</t>
        </is>
      </c>
      <c r="E39" s="25" t="inlineStr">
        <is>
          <t>DC-2</t>
        </is>
      </c>
      <c r="F39" s="25" t="inlineStr">
        <is>
          <t>M</t>
        </is>
      </c>
      <c r="G39" s="25" t="inlineStr">
        <is>
          <t>T</t>
        </is>
      </c>
      <c r="H39" s="25" t="n"/>
      <c r="I39" s="25" t="inlineStr">
        <is>
          <t>Codé (PR #4), à vérifier avec les jeux</t>
        </is>
      </c>
    </row>
    <row r="40" ht="15" customHeight="1" s="20">
      <c r="A40" s="36" t="inlineStr">
        <is>
          <t>D-A2-08</t>
        </is>
      </c>
      <c r="B40" s="25" t="inlineStr">
        <is>
          <t>Dérivée</t>
        </is>
      </c>
      <c r="C40" s="25" t="inlineStr">
        <is>
          <t>Ordinateur</t>
        </is>
      </c>
      <c r="D40" s="25" t="inlineStr">
        <is>
          <t>L'ordinateur joue parmi les coups permis du contrat</t>
        </is>
      </c>
      <c r="E40" s="25" t="inlineStr">
        <is>
          <t>DC-5, EX-A1</t>
        </is>
      </c>
      <c r="F40" s="25" t="inlineStr">
        <is>
          <t>M</t>
        </is>
      </c>
      <c r="G40" s="25" t="inlineStr">
        <is>
          <t>T</t>
        </is>
      </c>
      <c r="H40" s="25" t="n"/>
      <c r="I40" s="25" t="inlineStr">
        <is>
          <t>Codé (PR #1, Petits chevaux PR #4), à vérifier avec les jeux</t>
        </is>
      </c>
    </row>
    <row r="41" ht="15" customHeight="1" s="20">
      <c r="A41" s="36" t="inlineStr">
        <is>
          <t>D-A2-09</t>
        </is>
      </c>
      <c r="B41" s="25" t="inlineStr">
        <is>
          <t>Dérivée</t>
        </is>
      </c>
      <c r="C41" s="25" t="inlineStr">
        <is>
          <t>Ordinateur</t>
        </is>
      </c>
      <c r="D41" s="25" t="inlineStr">
        <is>
          <t>3 niveaux de difficulté d'ordinateur par jeu pour commencer (facile, moyen, difficile ; taux de victoire visés environ 20 %, 50 % et 80 %, mesurés par simulation) ; temps de réflexion plafonné par jeu (1 s par défaut), à préciser</t>
        </is>
      </c>
      <c r="E41" s="25" t="inlineStr">
        <is>
          <t>DC-5</t>
        </is>
      </c>
      <c r="F41" s="25" t="inlineStr">
        <is>
          <t>M</t>
        </is>
      </c>
      <c r="G41" s="25" t="inlineStr">
        <is>
          <t>T</t>
        </is>
      </c>
      <c r="H41" s="25" t="n"/>
      <c r="I41" s="25" t="inlineStr">
        <is>
          <t>Codé (PR #4) : 3 niveaux, mesurés en duel contre le moyen : 20 %, 50 %, 68 % (80 % non atteint) ; à vérifier avec les jeux</t>
        </is>
      </c>
    </row>
    <row r="42" ht="15" customHeight="1" s="20">
      <c r="A42" s="36" t="inlineStr">
        <is>
          <t>D-A2-10</t>
        </is>
      </c>
      <c r="B42" s="25" t="inlineStr">
        <is>
          <t>Dérivée</t>
        </is>
      </c>
      <c r="C42" s="25" t="inlineStr">
        <is>
          <t>Ordinateur</t>
        </is>
      </c>
      <c r="D42" s="25" t="inlineStr">
        <is>
          <t>L'ordinateur remplaçant reprend le tour sans bloquer</t>
        </is>
      </c>
      <c r="E42" s="25" t="inlineStr">
        <is>
          <t>DC-4, DC-5</t>
        </is>
      </c>
      <c r="F42" s="25" t="inlineStr">
        <is>
          <t>M</t>
        </is>
      </c>
      <c r="G42" s="25" t="inlineStr">
        <is>
          <t>M</t>
        </is>
      </c>
      <c r="H42" s="25" t="n"/>
      <c r="I42" s="25" t="inlineStr">
        <is>
          <t>À faire</t>
        </is>
      </c>
    </row>
    <row r="43" ht="15" customHeight="1" s="20">
      <c r="A43" s="36" t="inlineStr">
        <is>
          <t>D-A3-01</t>
        </is>
      </c>
      <c r="B43" s="25" t="inlineStr">
        <is>
          <t>Dérivée</t>
        </is>
      </c>
      <c r="C43" s="25" t="inlineStr">
        <is>
          <t>Salons</t>
        </is>
      </c>
      <c r="D43" s="25" t="inlineStr">
        <is>
          <t>Création de salon en un geste : code 4 caractères + QR code</t>
        </is>
      </c>
      <c r="E43" s="25" t="inlineStr">
        <is>
          <t>EX-A3</t>
        </is>
      </c>
      <c r="F43" s="25" t="inlineStr">
        <is>
          <t>M</t>
        </is>
      </c>
      <c r="G43" s="25" t="inlineStr">
        <is>
          <t>M</t>
        </is>
      </c>
      <c r="H43" s="25" t="n"/>
      <c r="I43" s="25" t="inlineStr">
        <is>
          <t>À faire</t>
        </is>
      </c>
    </row>
    <row r="44" ht="15" customHeight="1" s="20">
      <c r="A44" s="36" t="inlineStr">
        <is>
          <t>D-A3-02</t>
        </is>
      </c>
      <c r="B44" s="25" t="inlineStr">
        <is>
          <t>Dérivée</t>
        </is>
      </c>
      <c r="C44" s="25" t="inlineStr">
        <is>
          <t>Salons</t>
        </is>
      </c>
      <c r="D44" s="25" t="inlineStr">
        <is>
          <t>Rejoindre par le code ou le QR code</t>
        </is>
      </c>
      <c r="E44" s="25" t="inlineStr">
        <is>
          <t>EX-A3</t>
        </is>
      </c>
      <c r="F44" s="25" t="inlineStr">
        <is>
          <t>M</t>
        </is>
      </c>
      <c r="G44" s="25" t="inlineStr">
        <is>
          <t>M</t>
        </is>
      </c>
      <c r="H44" s="25" t="n"/>
      <c r="I44" s="25" t="inlineStr">
        <is>
          <t>À faire</t>
        </is>
      </c>
    </row>
    <row r="45" ht="15" customHeight="1" s="20">
      <c r="A45" s="36" t="inlineStr">
        <is>
          <t>D-A3-03</t>
        </is>
      </c>
      <c r="B45" s="25" t="inlineStr">
        <is>
          <t>Dérivée</t>
        </is>
      </c>
      <c r="C45" s="25" t="inlineStr">
        <is>
          <t>Salons</t>
        </is>
      </c>
      <c r="D45" s="25" t="inlineStr">
        <is>
          <t>Liste des joueurs et places (x sur 8) en direct</t>
        </is>
      </c>
      <c r="E45" s="25" t="inlineStr">
        <is>
          <t>EX-A2, EX-A3</t>
        </is>
      </c>
      <c r="F45" s="25" t="inlineStr">
        <is>
          <t>M</t>
        </is>
      </c>
      <c r="G45" s="25" t="inlineStr">
        <is>
          <t>M</t>
        </is>
      </c>
      <c r="H45" s="25" t="n"/>
      <c r="I45" s="25" t="inlineStr">
        <is>
          <t>À faire</t>
        </is>
      </c>
    </row>
    <row r="46" ht="15" customHeight="1" s="20">
      <c r="A46" s="36" t="inlineStr">
        <is>
          <t>D-A3-04</t>
        </is>
      </c>
      <c r="B46" s="25" t="inlineStr">
        <is>
          <t>Dérivée</t>
        </is>
      </c>
      <c r="C46" s="25" t="inlineStr">
        <is>
          <t>Salons</t>
        </is>
      </c>
      <c r="D46" s="25" t="inlineStr">
        <is>
          <t>Lancement seulement si le nombre de joueurs respecte le jeu</t>
        </is>
      </c>
      <c r="E46" s="25" t="inlineStr">
        <is>
          <t>EX-A1, EX-A2</t>
        </is>
      </c>
      <c r="F46" s="25" t="inlineStr">
        <is>
          <t>M</t>
        </is>
      </c>
      <c r="G46" s="25" t="inlineStr">
        <is>
          <t>T</t>
        </is>
      </c>
      <c r="H46" s="25" t="n"/>
      <c r="I46" s="25" t="inlineStr">
        <is>
          <t>Socle posé (PR #1)</t>
        </is>
      </c>
    </row>
    <row r="47" ht="15" customHeight="1" s="20">
      <c r="A47" s="36" t="inlineStr">
        <is>
          <t>D-A3-05</t>
        </is>
      </c>
      <c r="B47" s="25" t="inlineStr">
        <is>
          <t>Dérivée</t>
        </is>
      </c>
      <c r="C47" s="25" t="inlineStr">
        <is>
          <t>Salons</t>
        </is>
      </c>
      <c r="D47" s="25" t="inlineStr">
        <is>
          <t>Code à usage unique, invalidé à la fermeture du salon</t>
        </is>
      </c>
      <c r="E47" s="25" t="inlineStr">
        <is>
          <t>EX-E4</t>
        </is>
      </c>
      <c r="F47" s="25" t="inlineStr">
        <is>
          <t>S</t>
        </is>
      </c>
      <c r="G47" s="25" t="inlineStr">
        <is>
          <t>T</t>
        </is>
      </c>
      <c r="H47" s="25" t="n"/>
      <c r="I47" s="25" t="inlineStr">
        <is>
          <t>Socle posé (PR #3)</t>
        </is>
      </c>
    </row>
    <row r="48" ht="15" customHeight="1" s="20">
      <c r="A48" s="36" t="inlineStr">
        <is>
          <t>D-A3-06</t>
        </is>
      </c>
      <c r="B48" s="25" t="inlineStr">
        <is>
          <t>Dérivée</t>
        </is>
      </c>
      <c r="C48" s="25" t="inlineStr">
        <is>
          <t>Mise en relation</t>
        </is>
      </c>
      <c r="D48" s="25" t="inlineStr">
        <is>
          <t>Le serveur ne transporte que les messages de connexion</t>
        </is>
      </c>
      <c r="E48" s="25" t="inlineStr">
        <is>
          <t>EX-A3, EX-E4</t>
        </is>
      </c>
      <c r="F48" s="25" t="inlineStr">
        <is>
          <t>M</t>
        </is>
      </c>
      <c r="G48" s="25" t="inlineStr">
        <is>
          <t>R</t>
        </is>
      </c>
      <c r="H48" s="25" t="n"/>
      <c r="I48" s="25" t="inlineStr">
        <is>
          <t>Codé (PR #3), à vérifier avec les jeux</t>
        </is>
      </c>
    </row>
    <row r="49" ht="15" customHeight="1" s="20">
      <c r="A49" s="36" t="inlineStr">
        <is>
          <t>D-A3-07</t>
        </is>
      </c>
      <c r="B49" s="25" t="inlineStr">
        <is>
          <t>Dérivée</t>
        </is>
      </c>
      <c r="C49" s="25" t="inlineStr">
        <is>
          <t>Mise en relation</t>
        </is>
      </c>
      <c r="D49" s="25" t="inlineStr">
        <is>
          <t>Code minuscule (~100 lignes), déménageable en 1 h</t>
        </is>
      </c>
      <c r="E49" s="25" t="inlineStr">
        <is>
          <t>DC-1</t>
        </is>
      </c>
      <c r="F49" s="25" t="inlineStr">
        <is>
          <t>S</t>
        </is>
      </c>
      <c r="G49" s="25" t="inlineStr">
        <is>
          <t>R</t>
        </is>
      </c>
      <c r="H49" s="25" t="n"/>
      <c r="I49" s="25" t="inlineStr">
        <is>
          <t>Codé (PR #3), à vérifier avec les jeux</t>
        </is>
      </c>
    </row>
    <row r="50" ht="15" customHeight="1" s="20">
      <c r="A50" s="36" t="inlineStr">
        <is>
          <t>D-A3-08</t>
        </is>
      </c>
      <c r="B50" s="25" t="inlineStr">
        <is>
          <t>Dérivée</t>
        </is>
      </c>
      <c r="C50" s="25" t="inlineStr">
        <is>
          <t>Mise en relation</t>
        </is>
      </c>
      <c r="D50" s="25" t="inlineStr">
        <is>
          <t>Adresse du serveur lue dans un fichier modifiable à distance</t>
        </is>
      </c>
      <c r="E50" s="25" t="inlineStr">
        <is>
          <t>DC-1</t>
        </is>
      </c>
      <c r="F50" s="25" t="inlineStr">
        <is>
          <t>S</t>
        </is>
      </c>
      <c r="G50" s="25" t="inlineStr">
        <is>
          <t>T</t>
        </is>
      </c>
      <c r="H50" s="25" t="n"/>
      <c r="I50" s="25" t="inlineStr">
        <is>
          <t>Codé (PR #3), à vérifier avec les jeux</t>
        </is>
      </c>
    </row>
    <row r="51" ht="15" customHeight="1" s="20">
      <c r="A51" s="36" t="inlineStr">
        <is>
          <t>D-A3-09</t>
        </is>
      </c>
      <c r="B51" s="25" t="inlineStr">
        <is>
          <t>Dérivée</t>
        </is>
      </c>
      <c r="C51" s="25" t="inlineStr">
        <is>
          <t>Mise en relation</t>
        </is>
      </c>
      <c r="D51" s="25" t="inlineStr">
        <is>
          <t>Reste dans l'offre gratuite ; quota dépassé = message clair</t>
        </is>
      </c>
      <c r="E51" s="25" t="inlineStr">
        <is>
          <t>EX-A3</t>
        </is>
      </c>
      <c r="F51" s="25" t="inlineStr">
        <is>
          <t>M</t>
        </is>
      </c>
      <c r="G51" s="25" t="inlineStr">
        <is>
          <t>R</t>
        </is>
      </c>
      <c r="H51" s="25" t="n"/>
      <c r="I51" s="25" t="inlineStr">
        <is>
          <t>Socle posé (PR #3)</t>
        </is>
      </c>
    </row>
    <row r="52" ht="15" customHeight="1" s="20">
      <c r="A52" s="36" t="inlineStr">
        <is>
          <t>D-A3-10</t>
        </is>
      </c>
      <c r="B52" s="25" t="inlineStr">
        <is>
          <t>Dérivée</t>
        </is>
      </c>
      <c r="C52" s="25" t="inlineStr">
        <is>
          <t>Mise en relation</t>
        </is>
      </c>
      <c r="D52" s="25" t="inlineStr">
        <is>
          <t>Mode de secours : échange par QR codes, sans serveur</t>
        </is>
      </c>
      <c r="E52" s="25" t="inlineStr">
        <is>
          <t>EX-A3</t>
        </is>
      </c>
      <c r="F52" s="25" t="inlineStr">
        <is>
          <t>S</t>
        </is>
      </c>
      <c r="G52" s="25" t="inlineStr">
        <is>
          <t>M</t>
        </is>
      </c>
      <c r="H52" s="25" t="n"/>
      <c r="I52" s="25" t="inlineStr">
        <is>
          <t>À faire</t>
        </is>
      </c>
    </row>
    <row r="53" ht="15" customHeight="1" s="20">
      <c r="A53" s="36" t="inlineStr">
        <is>
          <t>D-A3-11</t>
        </is>
      </c>
      <c r="B53" s="25" t="inlineStr">
        <is>
          <t>Dérivée</t>
        </is>
      </c>
      <c r="C53" s="25" t="inlineStr">
        <is>
          <t>Réseau WebRTC</t>
        </is>
      </c>
      <c r="D53" s="25" t="inlineStr">
        <is>
          <t>Étoile : chaque invité relié à l'hôte, jusqu'à 7 invités</t>
        </is>
      </c>
      <c r="E53" s="25" t="inlineStr">
        <is>
          <t>EX-A2, EX-A3</t>
        </is>
      </c>
      <c r="F53" s="25" t="inlineStr">
        <is>
          <t>M</t>
        </is>
      </c>
      <c r="G53" s="25" t="inlineStr">
        <is>
          <t>M</t>
        </is>
      </c>
      <c r="H53" s="25" t="n"/>
      <c r="I53" s="25" t="inlineStr">
        <is>
          <t>Socle posé (PR #3)</t>
        </is>
      </c>
    </row>
    <row r="54" ht="15" customHeight="1" s="20">
      <c r="A54" s="36" t="inlineStr">
        <is>
          <t>D-A3-12</t>
        </is>
      </c>
      <c r="B54" s="25" t="inlineStr">
        <is>
          <t>Dérivée</t>
        </is>
      </c>
      <c r="C54" s="25" t="inlineStr">
        <is>
          <t>Réseau WebRTC</t>
        </is>
      </c>
      <c r="D54" s="25" t="inlineStr">
        <is>
          <t>Échec de connexion directe : message clair, pas de relais payant</t>
        </is>
      </c>
      <c r="E54" s="25" t="inlineStr">
        <is>
          <t>DC-3</t>
        </is>
      </c>
      <c r="F54" s="25" t="inlineStr">
        <is>
          <t>M</t>
        </is>
      </c>
      <c r="G54" s="25" t="inlineStr">
        <is>
          <t>M</t>
        </is>
      </c>
      <c r="H54" s="25" t="n"/>
      <c r="I54" s="25" t="inlineStr">
        <is>
          <t>Socle posé (PR #3)</t>
        </is>
      </c>
    </row>
    <row r="55" ht="15" customHeight="1" s="20">
      <c r="A55" s="36" t="inlineStr">
        <is>
          <t>D-A3-13</t>
        </is>
      </c>
      <c r="B55" s="25" t="inlineStr">
        <is>
          <t>Dérivée</t>
        </is>
      </c>
      <c r="C55" s="25" t="inlineStr">
        <is>
          <t>Réseau WebRTC</t>
        </is>
      </c>
      <c r="D55" s="25" t="inlineStr">
        <is>
          <t>Messages génériques, le réseau ne connaît aucun jeu</t>
        </is>
      </c>
      <c r="E55" s="25" t="inlineStr">
        <is>
          <t>EX-A1</t>
        </is>
      </c>
      <c r="F55" s="25" t="inlineStr">
        <is>
          <t>M</t>
        </is>
      </c>
      <c r="G55" s="25" t="inlineStr">
        <is>
          <t>R</t>
        </is>
      </c>
      <c r="H55" s="25" t="n"/>
      <c r="I55" s="25" t="inlineStr">
        <is>
          <t>Codé (PR #3), à vérifier avec les jeux</t>
        </is>
      </c>
    </row>
    <row r="56" ht="15" customHeight="1" s="20">
      <c r="A56" s="36" t="inlineStr">
        <is>
          <t>D-A3-14</t>
        </is>
      </c>
      <c r="B56" s="25" t="inlineStr">
        <is>
          <t>Dérivée</t>
        </is>
      </c>
      <c r="C56" s="25" t="inlineStr">
        <is>
          <t>Réseau WebRTC</t>
        </is>
      </c>
      <c r="D56" s="25" t="inlineStr">
        <is>
          <t>Coup affiché chez les autres en &lt; 200 ms en Wi-Fi local, &lt; 500 ms à distance (au mieux)</t>
        </is>
      </c>
      <c r="E56" s="25" t="inlineStr">
        <is>
          <t>EX-A3</t>
        </is>
      </c>
      <c r="F56" s="25" t="inlineStr">
        <is>
          <t>S</t>
        </is>
      </c>
      <c r="G56" s="25" t="inlineStr">
        <is>
          <t>M</t>
        </is>
      </c>
      <c r="H56" s="25" t="n"/>
      <c r="I56" s="25" t="inlineStr">
        <is>
          <t>Socle posé (PR #3)</t>
        </is>
      </c>
    </row>
    <row r="57" ht="15" customHeight="1" s="20">
      <c r="A57" s="36" t="inlineStr">
        <is>
          <t>D-B-01</t>
        </is>
      </c>
      <c r="B57" s="25" t="inlineStr">
        <is>
          <t>Dérivée</t>
        </is>
      </c>
      <c r="C57" s="25" t="inlineStr">
        <is>
          <t>Écran et thème</t>
        </is>
      </c>
      <c r="D57" s="25" t="inlineStr">
        <is>
          <t>Pack de thème par défaut, générique et proche des jeux réels</t>
        </is>
      </c>
      <c r="E57" s="25" t="inlineStr">
        <is>
          <t>EX-B1</t>
        </is>
      </c>
      <c r="F57" s="25" t="inlineStr">
        <is>
          <t>M</t>
        </is>
      </c>
      <c r="G57" s="25" t="inlineStr">
        <is>
          <t>R</t>
        </is>
      </c>
      <c r="H57" s="25" t="n"/>
      <c r="I57" s="25" t="inlineStr">
        <is>
          <t>Codé pour Petits chevaux (PR #4), à vérifier avec les jeux</t>
        </is>
      </c>
    </row>
    <row r="58" ht="15" customHeight="1" s="20">
      <c r="A58" s="36" t="inlineStr">
        <is>
          <t>D-B-02</t>
        </is>
      </c>
      <c r="B58" s="25" t="inlineStr">
        <is>
          <t>Dérivée</t>
        </is>
      </c>
      <c r="C58" s="25" t="inlineStr">
        <is>
          <t>Écran et thème</t>
        </is>
      </c>
      <c r="D58" s="25" t="inlineStr">
        <is>
          <t>Changer de thème = remplacer un pack, sans toucher aux jeux</t>
        </is>
      </c>
      <c r="E58" s="25" t="inlineStr">
        <is>
          <t>EX-B1, EX-E2</t>
        </is>
      </c>
      <c r="F58" s="25" t="inlineStr">
        <is>
          <t>M</t>
        </is>
      </c>
      <c r="G58" s="25" t="inlineStr">
        <is>
          <t>R</t>
        </is>
      </c>
      <c r="H58" s="25" t="n"/>
      <c r="I58" s="25" t="inlineStr">
        <is>
          <t>À faire</t>
        </is>
      </c>
    </row>
    <row r="59" ht="15" customHeight="1" s="20">
      <c r="A59" s="36" t="inlineStr">
        <is>
          <t>D-B-03</t>
        </is>
      </c>
      <c r="B59" s="25" t="inlineStr">
        <is>
          <t>Dérivée</t>
        </is>
      </c>
      <c r="C59" s="25" t="inlineStr">
        <is>
          <t>Écran et thème</t>
        </is>
      </c>
      <c r="D59" s="25" t="inlineStr">
        <is>
          <t>Aucun nom ni plateau protégé</t>
        </is>
      </c>
      <c r="E59" s="25" t="inlineStr">
        <is>
          <t>DC-6</t>
        </is>
      </c>
      <c r="F59" s="25" t="inlineStr">
        <is>
          <t>M</t>
        </is>
      </c>
      <c r="G59" s="25" t="inlineStr">
        <is>
          <t>R</t>
        </is>
      </c>
      <c r="H59" s="25" t="n"/>
      <c r="I59" s="25" t="inlineStr">
        <is>
          <t>Codé pour Petits chevaux (PR #4), à vérifier avec les jeux</t>
        </is>
      </c>
    </row>
    <row r="60" ht="15" customHeight="1" s="20">
      <c r="A60" s="36" t="inlineStr">
        <is>
          <t>D-C-01</t>
        </is>
      </c>
      <c r="B60" s="25" t="inlineStr">
        <is>
          <t>Dérivée</t>
        </is>
      </c>
      <c r="C60" s="25" t="inlineStr">
        <is>
          <t>Module de jeu</t>
        </is>
      </c>
      <c r="D60" s="25" t="inlineStr">
        <is>
          <t>Petits chevaux, 2 à 4 joueurs</t>
        </is>
      </c>
      <c r="E60" s="25" t="inlineStr">
        <is>
          <t>EX-C1, DC-2</t>
        </is>
      </c>
      <c r="F60" s="25" t="inlineStr">
        <is>
          <t>M</t>
        </is>
      </c>
      <c r="G60" s="25" t="inlineStr">
        <is>
          <t>T</t>
        </is>
      </c>
      <c r="H60" s="25" t="n"/>
      <c r="I60" s="25" t="inlineStr">
        <is>
          <t>Codé (PR #4), à vérifier avec les jeux</t>
        </is>
      </c>
    </row>
    <row r="61" ht="15" customHeight="1" s="20">
      <c r="A61" s="36" t="inlineStr">
        <is>
          <t>D-C-02</t>
        </is>
      </c>
      <c r="B61" s="25" t="inlineStr">
        <is>
          <t>Dérivée</t>
        </is>
      </c>
      <c r="C61" s="25" t="inlineStr">
        <is>
          <t>Module de jeu</t>
        </is>
      </c>
      <c r="D61" s="25" t="inlineStr">
        <is>
          <t>Huit américain, 2 à 8 joueurs, mains cachées</t>
        </is>
      </c>
      <c r="E61" s="25" t="inlineStr">
        <is>
          <t>EX-C2, DC-2</t>
        </is>
      </c>
      <c r="F61" s="25" t="inlineStr">
        <is>
          <t>M</t>
        </is>
      </c>
      <c r="G61" s="25" t="inlineStr">
        <is>
          <t>T</t>
        </is>
      </c>
      <c r="H61" s="25" t="n"/>
      <c r="I61" s="25" t="inlineStr">
        <is>
          <t>Règles et ordinateur codés (PR #5), à vérifier ; écran et réseau à faire</t>
        </is>
      </c>
    </row>
    <row r="62" ht="15" customHeight="1" s="20">
      <c r="A62" s="36" t="inlineStr">
        <is>
          <t>D-C-03</t>
        </is>
      </c>
      <c r="B62" s="25" t="inlineStr">
        <is>
          <t>Dérivée</t>
        </is>
      </c>
      <c r="C62" s="25" t="inlineStr">
        <is>
          <t>Module de jeu</t>
        </is>
      </c>
      <c r="D62" s="25" t="inlineStr">
        <is>
          <t>Après le MVP : dames, échecs, jeu de type Monopoly original</t>
        </is>
      </c>
      <c r="E62" s="25" t="inlineStr">
        <is>
          <t>EX-C1</t>
        </is>
      </c>
      <c r="F62" s="25" t="inlineStr">
        <is>
          <t>S</t>
        </is>
      </c>
      <c r="G62" s="25" t="inlineStr">
        <is>
          <t>T</t>
        </is>
      </c>
      <c r="H62" s="25" t="n"/>
      <c r="I62" s="25" t="inlineStr">
        <is>
          <t>À faire</t>
        </is>
      </c>
    </row>
    <row r="63" ht="15" customHeight="1" s="20">
      <c r="A63" s="36" t="inlineStr">
        <is>
          <t>D-C-04</t>
        </is>
      </c>
      <c r="B63" s="25" t="inlineStr">
        <is>
          <t>Dérivée</t>
        </is>
      </c>
      <c r="C63" s="25" t="inlineStr">
        <is>
          <t>Écran et thème</t>
        </is>
      </c>
      <c r="D63" s="25" t="inlineStr">
        <is>
          <t>Portrait, une main, zones tactiles &gt;= 44 px</t>
        </is>
      </c>
      <c r="E63" s="25" t="inlineStr">
        <is>
          <t>EX-C3</t>
        </is>
      </c>
      <c r="F63" s="25" t="inlineStr">
        <is>
          <t>M</t>
        </is>
      </c>
      <c r="G63" s="25" t="inlineStr">
        <is>
          <t>M</t>
        </is>
      </c>
      <c r="H63" s="25" t="n"/>
      <c r="I63" s="25" t="inlineStr">
        <is>
          <t>Codé (PR #1, écran Petits chevaux PR #4), à vérifier avec les jeux ; test sur téléphone</t>
        </is>
      </c>
    </row>
    <row r="64" ht="15" customHeight="1" s="20">
      <c r="A64" s="36" t="inlineStr">
        <is>
          <t>D-C-05</t>
        </is>
      </c>
      <c r="B64" s="25" t="inlineStr">
        <is>
          <t>Dérivée</t>
        </is>
      </c>
      <c r="C64" s="25" t="inlineStr">
        <is>
          <t>Compatibilité</t>
        </is>
      </c>
      <c r="D64" s="25" t="inlineStr">
        <is>
          <t>Android (Chrome) et iPhone (Safari), 2 dernières versions</t>
        </is>
      </c>
      <c r="E64" s="25" t="inlineStr">
        <is>
          <t>EX-C3</t>
        </is>
      </c>
      <c r="F64" s="25" t="inlineStr">
        <is>
          <t>M</t>
        </is>
      </c>
      <c r="G64" s="25" t="inlineStr">
        <is>
          <t>M</t>
        </is>
      </c>
      <c r="H64" s="25" t="n"/>
      <c r="I64" s="25" t="inlineStr">
        <is>
          <t>À faire</t>
        </is>
      </c>
    </row>
    <row r="65" ht="15" customHeight="1" s="20">
      <c r="A65" s="36" t="inlineStr">
        <is>
          <t>D-C-06</t>
        </is>
      </c>
      <c r="B65" s="25" t="inlineStr">
        <is>
          <t>Dérivée</t>
        </is>
      </c>
      <c r="C65" s="25" t="inlineStr">
        <is>
          <t>Compatibilité</t>
        </is>
      </c>
      <c r="D65" s="25" t="inlineStr">
        <is>
          <t>30 images/s sur un iPhone X et ses équivalents Android (téléphone de référence)</t>
        </is>
      </c>
      <c r="E65" s="25" t="inlineStr">
        <is>
          <t>EX-C3</t>
        </is>
      </c>
      <c r="F65" s="25" t="inlineStr">
        <is>
          <t>S</t>
        </is>
      </c>
      <c r="G65" s="25" t="inlineStr">
        <is>
          <t>M</t>
        </is>
      </c>
      <c r="H65" s="25" t="n"/>
      <c r="I65" s="25" t="inlineStr">
        <is>
          <t>À faire</t>
        </is>
      </c>
    </row>
    <row r="66" ht="15" customHeight="1" s="20">
      <c r="A66" s="36" t="inlineStr">
        <is>
          <t>D-C-07</t>
        </is>
      </c>
      <c r="B66" s="25" t="inlineStr">
        <is>
          <t>Dérivée</t>
        </is>
      </c>
      <c r="C66" s="25" t="inlineStr">
        <is>
          <t>Compatibilité</t>
        </is>
      </c>
      <c r="D66" s="25" t="inlineStr">
        <is>
          <t>Chargement initial &lt; 5 Mo</t>
        </is>
      </c>
      <c r="E66" s="25" t="inlineStr">
        <is>
          <t>EX-C3</t>
        </is>
      </c>
      <c r="F66" s="25" t="inlineStr">
        <is>
          <t>S</t>
        </is>
      </c>
      <c r="G66" s="25" t="inlineStr">
        <is>
          <t>T</t>
        </is>
      </c>
      <c r="H66" s="25" t="n"/>
      <c r="I66" s="25" t="inlineStr">
        <is>
          <t>Codé (PR #1), à vérifier avec les jeux</t>
        </is>
      </c>
    </row>
    <row r="67" ht="15" customHeight="1" s="20">
      <c r="A67" s="36" t="inlineStr">
        <is>
          <t>D-D-01</t>
        </is>
      </c>
      <c r="B67" s="25" t="inlineStr">
        <is>
          <t>Dérivée</t>
        </is>
      </c>
      <c r="C67" s="25" t="inlineStr">
        <is>
          <t>Menus</t>
        </is>
      </c>
      <c r="D67" s="25" t="inlineStr">
        <is>
          <t>Démarrage sans inscription ni connexion</t>
        </is>
      </c>
      <c r="E67" s="25" t="inlineStr">
        <is>
          <t>EX-D1</t>
        </is>
      </c>
      <c r="F67" s="25" t="inlineStr">
        <is>
          <t>M</t>
        </is>
      </c>
      <c r="G67" s="25" t="inlineStr">
        <is>
          <t>M</t>
        </is>
      </c>
      <c r="H67" s="25" t="n"/>
      <c r="I67" s="25" t="inlineStr">
        <is>
          <t>Codé (PR #1), à vérifier avec les jeux</t>
        </is>
      </c>
    </row>
    <row r="68" ht="15" customHeight="1" s="20">
      <c r="A68" s="36" t="inlineStr">
        <is>
          <t>D-D-02</t>
        </is>
      </c>
      <c r="B68" s="25" t="inlineStr">
        <is>
          <t>Dérivée</t>
        </is>
      </c>
      <c r="C68" s="25" t="inlineStr">
        <is>
          <t>Menus</t>
        </is>
      </c>
      <c r="D68" s="25" t="inlineStr">
        <is>
          <t>Deux menus seulement : Jeux et Paramètres</t>
        </is>
      </c>
      <c r="E68" s="25" t="inlineStr">
        <is>
          <t>EX-D2</t>
        </is>
      </c>
      <c r="F68" s="25" t="inlineStr">
        <is>
          <t>M</t>
        </is>
      </c>
      <c r="G68" s="25" t="inlineStr">
        <is>
          <t>M</t>
        </is>
      </c>
      <c r="H68" s="25" t="n"/>
      <c r="I68" s="25" t="inlineStr">
        <is>
          <t>Codé (PR #1), à vérifier avec les jeux</t>
        </is>
      </c>
    </row>
    <row r="69" ht="15" customHeight="1" s="20">
      <c r="A69" s="36" t="inlineStr">
        <is>
          <t>D-D-03</t>
        </is>
      </c>
      <c r="B69" s="25" t="inlineStr">
        <is>
          <t>Dérivée</t>
        </is>
      </c>
      <c r="C69" s="25" t="inlineStr">
        <is>
          <t>Menus</t>
        </is>
      </c>
      <c r="D69" s="25" t="inlineStr">
        <is>
          <t>Paramètres : pseudo, couleur, son, langue FR/EN</t>
        </is>
      </c>
      <c r="E69" s="25" t="inlineStr">
        <is>
          <t>EX-D2, DC-7</t>
        </is>
      </c>
      <c r="F69" s="25" t="inlineStr">
        <is>
          <t>M</t>
        </is>
      </c>
      <c r="G69" s="25" t="inlineStr">
        <is>
          <t>M</t>
        </is>
      </c>
      <c r="H69" s="25" t="n"/>
      <c r="I69" s="25" t="inlineStr">
        <is>
          <t>Codé (PR #1), à vérifier avec les jeux</t>
        </is>
      </c>
    </row>
    <row r="70" ht="15" customHeight="1" s="20">
      <c r="A70" s="36" t="inlineStr">
        <is>
          <t>D-D-04</t>
        </is>
      </c>
      <c r="B70" s="25" t="inlineStr">
        <is>
          <t>Dérivée</t>
        </is>
      </c>
      <c r="C70" s="25" t="inlineStr">
        <is>
          <t>Menus</t>
        </is>
      </c>
      <c r="D70" s="25" t="inlineStr">
        <is>
          <t>Langue du téléphone choisie au premier lancement</t>
        </is>
      </c>
      <c r="E70" s="25" t="inlineStr">
        <is>
          <t>DC-7</t>
        </is>
      </c>
      <c r="F70" s="25" t="inlineStr">
        <is>
          <t>S</t>
        </is>
      </c>
      <c r="G70" s="25" t="inlineStr">
        <is>
          <t>M</t>
        </is>
      </c>
      <c r="H70" s="25" t="n"/>
      <c r="I70" s="25" t="inlineStr">
        <is>
          <t>Codé (PR #1), à vérifier avec les jeux</t>
        </is>
      </c>
    </row>
    <row r="71" ht="15" customHeight="1" s="20">
      <c r="A71" s="36" t="inlineStr">
        <is>
          <t>D-D-05</t>
        </is>
      </c>
      <c r="B71" s="25" t="inlineStr">
        <is>
          <t>Dérivée</t>
        </is>
      </c>
      <c r="C71" s="25" t="inlineStr">
        <is>
          <t>Menus</t>
        </is>
      </c>
      <c r="D71" s="25" t="inlineStr">
        <is>
          <t>Textes dans des fichiers de traduction, aucun en dur</t>
        </is>
      </c>
      <c r="E71" s="25" t="inlineStr">
        <is>
          <t>DC-7</t>
        </is>
      </c>
      <c r="F71" s="25" t="inlineStr">
        <is>
          <t>M</t>
        </is>
      </c>
      <c r="G71" s="25" t="inlineStr">
        <is>
          <t>T</t>
        </is>
      </c>
      <c r="H71" s="25" t="n"/>
      <c r="I71" s="25" t="inlineStr">
        <is>
          <t>Codé (PR #1), à vérifier avec les jeux</t>
        </is>
      </c>
    </row>
    <row r="72" ht="15" customHeight="1" s="20">
      <c r="A72" s="36" t="inlineStr">
        <is>
          <t>D-D-06</t>
        </is>
      </c>
      <c r="B72" s="25" t="inlineStr">
        <is>
          <t>Dérivée</t>
        </is>
      </c>
      <c r="C72" s="25" t="inlineStr">
        <is>
          <t>Menus</t>
        </is>
      </c>
      <c r="D72" s="25" t="inlineStr">
        <is>
          <t>Installation écran d'accueil ; consigne Safari sur iPhone</t>
        </is>
      </c>
      <c r="E72" s="25" t="inlineStr">
        <is>
          <t>DC-1</t>
        </is>
      </c>
      <c r="F72" s="25" t="inlineStr">
        <is>
          <t>M</t>
        </is>
      </c>
      <c r="G72" s="25" t="inlineStr">
        <is>
          <t>M</t>
        </is>
      </c>
      <c r="H72" s="25" t="n"/>
      <c r="I72" s="25" t="inlineStr">
        <is>
          <t>Codé (PR #1), à vérifier avec les jeux ; test sur téléphone</t>
        </is>
      </c>
    </row>
    <row r="73" ht="15" customHeight="1" s="20">
      <c r="A73" s="36" t="inlineStr">
        <is>
          <t>D-D-07</t>
        </is>
      </c>
      <c r="B73" s="25" t="inlineStr">
        <is>
          <t>Dérivée</t>
        </is>
      </c>
      <c r="C73" s="25" t="inlineStr">
        <is>
          <t>Menus</t>
        </is>
      </c>
      <c r="D73" s="25" t="inlineStr">
        <is>
          <t>Menu et mode un téléphone utilisables hors ligne</t>
        </is>
      </c>
      <c r="E73" s="25" t="inlineStr">
        <is>
          <t>DC-1</t>
        </is>
      </c>
      <c r="F73" s="25" t="inlineStr">
        <is>
          <t>M</t>
        </is>
      </c>
      <c r="G73" s="25" t="inlineStr">
        <is>
          <t>M</t>
        </is>
      </c>
      <c r="H73" s="25" t="n"/>
      <c r="I73" s="25" t="inlineStr">
        <is>
          <t>Codé (PR #1), à vérifier avec les jeux ; test sur téléphone</t>
        </is>
      </c>
    </row>
    <row r="74" ht="15" customHeight="1" s="20">
      <c r="A74" s="36" t="inlineStr">
        <is>
          <t>D-D-08</t>
        </is>
      </c>
      <c r="B74" s="25" t="inlineStr">
        <is>
          <t>Dérivée</t>
        </is>
      </c>
      <c r="C74" s="25" t="inlineStr">
        <is>
          <t>Stockage local</t>
        </is>
      </c>
      <c r="D74" s="25" t="inlineStr">
        <is>
          <t>Réglages sur le téléphone, aucune donnée personnelle envoyée</t>
        </is>
      </c>
      <c r="E74" s="25" t="inlineStr">
        <is>
          <t>EX-D1, EX-E4</t>
        </is>
      </c>
      <c r="F74" s="25" t="inlineStr">
        <is>
          <t>M</t>
        </is>
      </c>
      <c r="G74" s="25" t="inlineStr">
        <is>
          <t>R</t>
        </is>
      </c>
      <c r="H74" s="25" t="n"/>
      <c r="I74" s="25" t="inlineStr">
        <is>
          <t>Codé (PR #1), à vérifier avec les jeux</t>
        </is>
      </c>
    </row>
    <row r="75" ht="15" customHeight="1" s="20">
      <c r="A75" s="36" t="inlineStr">
        <is>
          <t>D-D-09</t>
        </is>
      </c>
      <c r="B75" s="25" t="inlineStr">
        <is>
          <t>Dérivée</t>
        </is>
      </c>
      <c r="C75" s="25" t="inlineStr">
        <is>
          <t>Stockage local</t>
        </is>
      </c>
      <c r="D75" s="25" t="inlineStr">
        <is>
          <t>Partie sauvegardée à chaque coup pour la reprise</t>
        </is>
      </c>
      <c r="E75" s="25" t="inlineStr">
        <is>
          <t>DC-4</t>
        </is>
      </c>
      <c r="F75" s="25" t="inlineStr">
        <is>
          <t>M</t>
        </is>
      </c>
      <c r="G75" s="25" t="inlineStr">
        <is>
          <t>T</t>
        </is>
      </c>
      <c r="H75" s="25" t="n"/>
      <c r="I75" s="25" t="inlineStr">
        <is>
          <t>Codé (PR #4), à vérifier avec les jeux</t>
        </is>
      </c>
    </row>
    <row r="76" ht="15" customHeight="1" s="20">
      <c r="A76" s="36" t="inlineStr">
        <is>
          <t>D-T-01</t>
        </is>
      </c>
      <c r="B76" s="25" t="inlineStr">
        <is>
          <t>Dérivée</t>
        </is>
      </c>
      <c r="C76" s="25" t="inlineStr">
        <is>
          <t>Transverse</t>
        </is>
      </c>
      <c r="D76" s="25" t="inlineStr">
        <is>
          <t>HTTPS uniquement ; contacts limités au serveur et aux pairs</t>
        </is>
      </c>
      <c r="E76" s="25" t="inlineStr">
        <is>
          <t>EX-E4</t>
        </is>
      </c>
      <c r="F76" s="25" t="inlineStr">
        <is>
          <t>M</t>
        </is>
      </c>
      <c r="G76" s="25" t="inlineStr">
        <is>
          <t>R</t>
        </is>
      </c>
      <c r="H76" s="25" t="n"/>
      <c r="I76" s="25" t="inlineStr">
        <is>
          <t>À faire</t>
        </is>
      </c>
    </row>
    <row r="77" ht="15" customHeight="1" s="20">
      <c r="A77" s="36" t="inlineStr">
        <is>
          <t>D-T-02</t>
        </is>
      </c>
      <c r="B77" s="25" t="inlineStr">
        <is>
          <t>Dérivée</t>
        </is>
      </c>
      <c r="C77" s="25" t="inlineStr">
        <is>
          <t>Transverse</t>
        </is>
      </c>
      <c r="D77" s="25" t="inlineStr">
        <is>
          <t>Aucune donnée personnelle ni bancaire collectée en V1</t>
        </is>
      </c>
      <c r="E77" s="25" t="inlineStr">
        <is>
          <t>EX-E3, EX-E4</t>
        </is>
      </c>
      <c r="F77" s="25" t="inlineStr">
        <is>
          <t>M</t>
        </is>
      </c>
      <c r="G77" s="25" t="inlineStr">
        <is>
          <t>R</t>
        </is>
      </c>
      <c r="H77" s="25" t="n"/>
      <c r="I77" s="25" t="inlineStr">
        <is>
          <t>À faire</t>
        </is>
      </c>
    </row>
    <row r="78" ht="15" customHeight="1" s="20">
      <c r="A78" s="36" t="inlineStr">
        <is>
          <t>D-T-03</t>
        </is>
      </c>
      <c r="B78" s="25" t="inlineStr">
        <is>
          <t>Dérivée</t>
        </is>
      </c>
      <c r="C78" s="25" t="inlineStr">
        <is>
          <t>Transverse</t>
        </is>
      </c>
      <c r="D78" s="25" t="inlineStr">
        <is>
          <t>Coût d'exploitation V1 = 0 euro</t>
        </is>
      </c>
      <c r="E78" s="25" t="inlineStr">
        <is>
          <t>EX-A3, DC-8</t>
        </is>
      </c>
      <c r="F78" s="25" t="inlineStr">
        <is>
          <t>M</t>
        </is>
      </c>
      <c r="G78" s="25" t="inlineStr">
        <is>
          <t>R</t>
        </is>
      </c>
      <c r="H78" s="25" t="n"/>
      <c r="I78" s="25" t="inlineStr">
        <is>
          <t>À faire</t>
        </is>
      </c>
    </row>
    <row r="79" ht="15" customHeight="1" s="20">
      <c r="A79" s="36" t="inlineStr">
        <is>
          <t>D-T-04</t>
        </is>
      </c>
      <c r="B79" s="25" t="inlineStr">
        <is>
          <t>Dérivée</t>
        </is>
      </c>
      <c r="C79" s="25" t="inlineStr">
        <is>
          <t>Transverse</t>
        </is>
      </c>
      <c r="D79" s="25" t="inlineStr">
        <is>
          <t>Tests automatiques des règles ; échec = pas de mise en ligne</t>
        </is>
      </c>
      <c r="E79" s="25" t="inlineStr">
        <is>
          <t>EX-A1</t>
        </is>
      </c>
      <c r="F79" s="25" t="inlineStr">
        <is>
          <t>S</t>
        </is>
      </c>
      <c r="G79" s="25" t="inlineStr">
        <is>
          <t>T</t>
        </is>
      </c>
      <c r="H79" s="25" t="n"/>
      <c r="I79" s="25" t="inlineStr">
        <is>
          <t>Codé (PR #1, PR #2), publication conditionnée aux vérifications ; tests Petits chevaux (PR #4) ; à vérifier avec les jeux</t>
        </is>
      </c>
    </row>
    <row r="80" ht="15" customHeight="1" s="20">
      <c r="A80" s="36" t="inlineStr">
        <is>
          <t>D-T-05</t>
        </is>
      </c>
      <c r="B80" s="25" t="inlineStr">
        <is>
          <t>Dérivée</t>
        </is>
      </c>
      <c r="C80" s="25" t="inlineStr">
        <is>
          <t>Transverse</t>
        </is>
      </c>
      <c r="D80" s="25" t="inlineStr">
        <is>
          <t>Publication à une adresse github.io</t>
        </is>
      </c>
      <c r="E80" s="25" t="inlineStr">
        <is>
          <t>DC-8</t>
        </is>
      </c>
      <c r="F80" s="25" t="inlineStr">
        <is>
          <t>M</t>
        </is>
      </c>
      <c r="G80" s="25" t="inlineStr">
        <is>
          <t>R</t>
        </is>
      </c>
      <c r="H80" s="25" t="n"/>
      <c r="I80" s="25" t="inlineStr">
        <is>
          <t>Codé (PR #2), en ligne, adresse confirmée par fab le 2026-10-06</t>
        </is>
      </c>
    </row>
    <row r="81" ht="15" customHeight="1" s="20">
      <c r="A81" s="36" t="inlineStr">
        <is>
          <t>D-V2-01</t>
        </is>
      </c>
      <c r="B81" s="25" t="inlineStr">
        <is>
          <t>Dérivée</t>
        </is>
      </c>
      <c r="C81" s="25" t="inlineStr">
        <is>
          <t>V2</t>
        </is>
      </c>
      <c r="D81" s="25" t="inlineStr">
        <is>
          <t>Code V1 empaqueté avec Capacitor sans réécriture</t>
        </is>
      </c>
      <c r="E81" s="25" t="inlineStr">
        <is>
          <t>DC-1</t>
        </is>
      </c>
      <c r="F81" s="25" t="inlineStr">
        <is>
          <t>V2</t>
        </is>
      </c>
      <c r="G81" s="25" t="inlineStr">
        <is>
          <t>R</t>
        </is>
      </c>
      <c r="H81" s="25" t="n"/>
      <c r="I81" s="25" t="inlineStr">
        <is>
          <t>À faire</t>
        </is>
      </c>
    </row>
    <row r="82" ht="15" customHeight="1" s="20">
      <c r="A82" s="36" t="inlineStr">
        <is>
          <t>D-V2-02</t>
        </is>
      </c>
      <c r="B82" s="25" t="inlineStr">
        <is>
          <t>Dérivée</t>
        </is>
      </c>
      <c r="C82" s="25" t="inlineStr">
        <is>
          <t>V2</t>
        </is>
      </c>
      <c r="D82" s="25" t="inlineStr">
        <is>
          <t>Réseau isolé derrière une interface (découverte locale native)</t>
        </is>
      </c>
      <c r="E82" s="25" t="inlineStr">
        <is>
          <t>EX-A3</t>
        </is>
      </c>
      <c r="F82" s="25" t="inlineStr">
        <is>
          <t>V2</t>
        </is>
      </c>
      <c r="G82" s="25" t="inlineStr">
        <is>
          <t>R</t>
        </is>
      </c>
      <c r="H82" s="25" t="n"/>
      <c r="I82" s="25" t="inlineStr">
        <is>
          <t>À faire</t>
        </is>
      </c>
    </row>
    <row r="83" ht="15" customHeight="1" s="20">
      <c r="A83" s="36" t="inlineStr">
        <is>
          <t>D-V2-03</t>
        </is>
      </c>
      <c r="B83" s="25" t="inlineStr">
        <is>
          <t>Dérivée</t>
        </is>
      </c>
      <c r="C83" s="25" t="inlineStr">
        <is>
          <t>V2</t>
        </is>
      </c>
      <c r="D83" s="25" t="inlineStr">
        <is>
          <t>Jeu solo = module du même contrat ; réévaluer le moteur si besoin</t>
        </is>
      </c>
      <c r="E83" s="25" t="inlineStr">
        <is>
          <t>EX-E1</t>
        </is>
      </c>
      <c r="F83" s="25" t="inlineStr">
        <is>
          <t>V2</t>
        </is>
      </c>
      <c r="G83" s="25" t="inlineStr">
        <is>
          <t>R</t>
        </is>
      </c>
      <c r="H83" s="25" t="n"/>
      <c r="I83" s="25" t="inlineStr">
        <is>
          <t>À faire</t>
        </is>
      </c>
    </row>
    <row r="84" ht="15" customHeight="1" s="20">
      <c r="A84" s="36" t="inlineStr">
        <is>
          <t>D-V2-04</t>
        </is>
      </c>
      <c r="B84" s="25" t="inlineStr">
        <is>
          <t>Dérivée</t>
        </is>
      </c>
      <c r="C84" s="25" t="inlineStr">
        <is>
          <t>V2</t>
        </is>
      </c>
      <c r="D84" s="25" t="inlineStr">
        <is>
          <t>Thèmes en packs téléchargeables, achat via les stores</t>
        </is>
      </c>
      <c r="E84" s="25" t="inlineStr">
        <is>
          <t>EX-E2</t>
        </is>
      </c>
      <c r="F84" s="25" t="inlineStr">
        <is>
          <t>V2</t>
        </is>
      </c>
      <c r="G84" s="25" t="inlineStr">
        <is>
          <t>R</t>
        </is>
      </c>
      <c r="H84" s="25" t="n"/>
      <c r="I84" s="25" t="inlineStr">
        <is>
          <t>À faire</t>
        </is>
      </c>
    </row>
    <row r="85" ht="15" customHeight="1" s="20">
      <c r="A85" s="36" t="inlineStr">
        <is>
          <t>D-V2-05</t>
        </is>
      </c>
      <c r="B85" s="25" t="inlineStr">
        <is>
          <t>Dérivée</t>
        </is>
      </c>
      <c r="C85" s="25" t="inlineStr">
        <is>
          <t>V2</t>
        </is>
      </c>
      <c r="D85" s="25" t="inlineStr">
        <is>
          <t>Profil local optionnel, mode sans compte conservé</t>
        </is>
      </c>
      <c r="E85" s="25" t="inlineStr">
        <is>
          <t>EX-E3</t>
        </is>
      </c>
      <c r="F85" s="25" t="inlineStr">
        <is>
          <t>V2</t>
        </is>
      </c>
      <c r="G85" s="25" t="inlineStr">
        <is>
          <t>R</t>
        </is>
      </c>
      <c r="H85" s="25" t="n"/>
      <c r="I85" s="25" t="inlineStr">
        <is>
          <t>À faire</t>
        </is>
      </c>
    </row>
    <row r="86" ht="15" customHeight="1" s="20">
      <c r="A86" s="36" t="inlineStr">
        <is>
          <t>D-V2-06</t>
        </is>
      </c>
      <c r="B86" s="25" t="inlineStr">
        <is>
          <t>Dérivée</t>
        </is>
      </c>
      <c r="C86" s="25" t="inlineStr">
        <is>
          <t>V2</t>
        </is>
      </c>
      <c r="D86" s="25" t="inlineStr">
        <is>
          <t>Paiements délégués, aucune donnée bancaire stockée</t>
        </is>
      </c>
      <c r="E86" s="25" t="inlineStr">
        <is>
          <t>EX-E3</t>
        </is>
      </c>
      <c r="F86" s="25" t="inlineStr">
        <is>
          <t>V2</t>
        </is>
      </c>
      <c r="G86" s="25" t="inlineStr">
        <is>
          <t>R</t>
        </is>
      </c>
      <c r="H86" s="25" t="n"/>
      <c r="I86" s="25" t="inlineStr">
        <is>
          <t>À faire</t>
        </is>
      </c>
    </row>
    <row r="87" ht="15" customHeight="1" s="20">
      <c r="A87" s="36" t="inlineStr">
        <is>
          <t>D-V2-07</t>
        </is>
      </c>
      <c r="B87" s="25" t="inlineStr">
        <is>
          <t>Dérivée</t>
        </is>
      </c>
      <c r="C87" s="25" t="inlineStr">
        <is>
          <t>V2</t>
        </is>
      </c>
      <c r="D87" s="25" t="inlineStr">
        <is>
          <t>Serveur de comptes : HTTPS, authentification, mises à jour</t>
        </is>
      </c>
      <c r="E87" s="25" t="inlineStr">
        <is>
          <t>EX-E4</t>
        </is>
      </c>
      <c r="F87" s="25" t="inlineStr">
        <is>
          <t>V2</t>
        </is>
      </c>
      <c r="G87" s="25" t="inlineStr">
        <is>
          <t>R</t>
        </is>
      </c>
      <c r="H87" s="25" t="n"/>
      <c r="I87" s="25" t="inlineStr">
        <is>
          <t>À faire</t>
        </is>
      </c>
    </row>
  </sheetData>
  <autoFilter ref="A1:H87"/>
  <conditionalFormatting sqref="I2:I87">
    <cfRule type="expression" priority="1" dxfId="6">
      <formula>LEFT($I2,8)="En revue"</formula>
    </cfRule>
    <cfRule type="expression" priority="2" dxfId="7">
      <formula>LEFT($I2,5)="Socle"</formula>
    </cfRule>
    <cfRule type="expression" priority="3" dxfId="6">
      <formula>LEFT($I2,4)="Fait"</formula>
    </cfRule>
    <cfRule type="expression" priority="4" dxfId="8">
      <formula>LEFT($I2,4)="Codé"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2026-10-06T17:54:20Z</dcterms:created>
  <dcterms:modified xmlns:dcterms="http://purl.org/dc/terms/" xmlns:xsi="http://www.w3.org/2001/XMLSchema-instance" xsi:type="dcterms:W3CDTF">2026-10-06T21:35:59Z</dcterms:modified>
  <cp:revision>0</cp:revision>
</cp:coreProperties>
</file>